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lebihan\Desktop\Data analyse Stage\Physico-Chim 08-12-2025\Script_dev\data\"/>
    </mc:Choice>
  </mc:AlternateContent>
  <xr:revisionPtr revIDLastSave="0" documentId="13_ncr:1_{C91D8CBC-1136-4F2A-9C17-F622FE49578C}" xr6:coauthVersionLast="47" xr6:coauthVersionMax="47" xr10:uidLastSave="{00000000-0000-0000-0000-000000000000}"/>
  <bookViews>
    <workbookView xWindow="-28920" yWindow="-990" windowWidth="29040" windowHeight="15720" xr2:uid="{737B2B2F-513C-41C1-9E4E-EAA2F3CE25D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50" i="1"/>
  <c r="H51" i="1"/>
  <c r="H52" i="1"/>
  <c r="H53" i="1"/>
  <c r="H54" i="1"/>
  <c r="H55" i="1"/>
  <c r="H56" i="1"/>
  <c r="H58" i="1"/>
  <c r="H59" i="1"/>
  <c r="H60" i="1"/>
  <c r="H61" i="1"/>
  <c r="H63" i="1"/>
  <c r="H64" i="1"/>
  <c r="H65" i="1"/>
  <c r="H66" i="1"/>
  <c r="H68" i="1"/>
  <c r="H69" i="1"/>
  <c r="H70" i="1"/>
  <c r="H71" i="1"/>
  <c r="H73" i="1"/>
  <c r="H74" i="1"/>
  <c r="H75" i="1"/>
  <c r="H76" i="1"/>
  <c r="H79" i="1"/>
  <c r="H80" i="1"/>
  <c r="H81" i="1"/>
  <c r="H83" i="1"/>
  <c r="H84" i="1"/>
  <c r="H85" i="1"/>
  <c r="H86" i="1"/>
  <c r="H2" i="1"/>
</calcChain>
</file>

<file path=xl/sharedStrings.xml><?xml version="1.0" encoding="utf-8"?>
<sst xmlns="http://schemas.openxmlformats.org/spreadsheetml/2006/main" count="850" uniqueCount="36">
  <si>
    <t>pH</t>
  </si>
  <si>
    <t>TD1</t>
  </si>
  <si>
    <t>TD2</t>
  </si>
  <si>
    <t>TD3</t>
  </si>
  <si>
    <t>TD4</t>
  </si>
  <si>
    <t>TD5</t>
  </si>
  <si>
    <t>TD6</t>
  </si>
  <si>
    <t>NA</t>
  </si>
  <si>
    <t>name</t>
  </si>
  <si>
    <t>date</t>
  </si>
  <si>
    <t>condition</t>
  </si>
  <si>
    <t>Thermophile</t>
  </si>
  <si>
    <t>acide acétique (mg/L)</t>
  </si>
  <si>
    <t>Acide proprionique (mg/L)</t>
  </si>
  <si>
    <t>Acide isobutyrique (mg/L)</t>
  </si>
  <si>
    <t>Acide Butyrique (mg/L)</t>
  </si>
  <si>
    <t>Acide Isovalerique(mg/L)</t>
  </si>
  <si>
    <t>Acide Valerique (mg/L)</t>
  </si>
  <si>
    <t>T (°C)</t>
  </si>
  <si>
    <t>Débit entrant (m3/j)</t>
  </si>
  <si>
    <t xml:space="preserve">Mésophile </t>
  </si>
  <si>
    <t xml:space="preserve">Avant arret </t>
  </si>
  <si>
    <t>commentaire</t>
  </si>
  <si>
    <t>Stabilisation</t>
  </si>
  <si>
    <t>Fonctionne normal</t>
  </si>
  <si>
    <t>Temps de séjour</t>
  </si>
  <si>
    <t>AGV mg/l</t>
  </si>
  <si>
    <t>TAC mg(caco3)/l</t>
  </si>
  <si>
    <t>MS %</t>
  </si>
  <si>
    <t>MV %MS</t>
  </si>
  <si>
    <t>MD1</t>
  </si>
  <si>
    <t>MD2</t>
  </si>
  <si>
    <t>MD3</t>
  </si>
  <si>
    <t>MD4</t>
  </si>
  <si>
    <t>MD5</t>
  </si>
  <si>
    <t>AGV/TAC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</si>
</sst>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/>
    <xf numFmtId="0" fontId="0" fillId="0" borderId="1" xfId="0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1" xfId="0" applyFont="1" applyBorder="1" applyAlignment="1">
      <alignment horizontal="left"/>
    </xf>
    <xf numFmtId="0" fontId="0" fillId="0" borderId="1" xfId="0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518C-C04F-444D-8257-9DBD917DD377}">
  <dimension ref="A1:S92"/>
  <sheetViews>
    <sheetView tabSelected="1" workbookViewId="0">
      <selection activeCell="H92" sqref="H92"/>
    </sheetView>
  </sheetViews>
  <sheetFormatPr baseColWidth="10" defaultRowHeight="15" x14ac:dyDescent="0.25"/>
  <cols>
    <col min="4" max="4" width="11.42578125" style="1"/>
    <col min="8" max="8" width="11.42578125" style="1"/>
  </cols>
  <sheetData>
    <row r="1" spans="1:19" x14ac:dyDescent="0.25">
      <c r="A1" s="5" t="s">
        <v>9</v>
      </c>
      <c r="B1" s="5" t="s">
        <v>8</v>
      </c>
      <c r="C1" s="5" t="s">
        <v>10</v>
      </c>
      <c r="D1" s="5" t="s">
        <v>22</v>
      </c>
      <c r="E1" s="5" t="s">
        <v>0</v>
      </c>
      <c r="F1" s="5" t="s">
        <v>26</v>
      </c>
      <c r="G1" s="5" t="s">
        <v>27</v>
      </c>
      <c r="H1" s="5" t="s">
        <v>35</v>
      </c>
      <c r="I1" s="5" t="s">
        <v>28</v>
      </c>
      <c r="J1" s="5" t="s">
        <v>29</v>
      </c>
      <c r="K1" s="2" t="s">
        <v>12</v>
      </c>
      <c r="L1" s="2" t="s">
        <v>13</v>
      </c>
      <c r="M1" s="2" t="s">
        <v>14</v>
      </c>
      <c r="N1" s="2" t="s">
        <v>15</v>
      </c>
      <c r="O1" s="2" t="s">
        <v>16</v>
      </c>
      <c r="P1" s="2" t="s">
        <v>17</v>
      </c>
      <c r="Q1" s="2" t="s">
        <v>18</v>
      </c>
      <c r="R1" s="2" t="s">
        <v>19</v>
      </c>
      <c r="S1" s="6" t="s">
        <v>25</v>
      </c>
    </row>
    <row r="2" spans="1:19" x14ac:dyDescent="0.25">
      <c r="A2" s="3">
        <v>45875</v>
      </c>
      <c r="B2" s="2" t="s">
        <v>1</v>
      </c>
      <c r="C2" s="2" t="s">
        <v>11</v>
      </c>
      <c r="D2" s="2" t="s">
        <v>23</v>
      </c>
      <c r="E2" s="4">
        <v>7.7</v>
      </c>
      <c r="F2" s="4">
        <v>42</v>
      </c>
      <c r="G2" s="4">
        <v>5014</v>
      </c>
      <c r="H2" s="4">
        <f>F2/G2</f>
        <v>8.3765456721180687E-3</v>
      </c>
      <c r="I2" s="4">
        <v>2.7</v>
      </c>
      <c r="J2" s="4">
        <v>59.5</v>
      </c>
      <c r="K2" s="2">
        <v>34.880000000000003</v>
      </c>
      <c r="L2" s="2">
        <v>6.76</v>
      </c>
      <c r="M2" s="2">
        <v>0.6</v>
      </c>
      <c r="N2" s="2">
        <v>0.42</v>
      </c>
      <c r="O2" s="2">
        <v>1.0900000000000001</v>
      </c>
      <c r="P2" s="2">
        <v>0.56000000000000005</v>
      </c>
      <c r="Q2" s="2">
        <v>54.98</v>
      </c>
      <c r="R2" s="2">
        <v>364</v>
      </c>
      <c r="S2" s="2" t="s">
        <v>7</v>
      </c>
    </row>
    <row r="3" spans="1:19" x14ac:dyDescent="0.25">
      <c r="A3" s="3">
        <v>45875</v>
      </c>
      <c r="B3" s="2" t="s">
        <v>2</v>
      </c>
      <c r="C3" s="2" t="s">
        <v>11</v>
      </c>
      <c r="D3" s="2" t="s">
        <v>23</v>
      </c>
      <c r="E3" s="4">
        <v>7.8</v>
      </c>
      <c r="F3" s="4">
        <v>34</v>
      </c>
      <c r="G3" s="4">
        <v>5015</v>
      </c>
      <c r="H3" s="4">
        <f t="shared" ref="H3:H66" si="0">F3/G3</f>
        <v>6.7796610169491523E-3</v>
      </c>
      <c r="I3" s="4">
        <v>2.7</v>
      </c>
      <c r="J3" s="4">
        <v>59.5</v>
      </c>
      <c r="K3" s="2">
        <v>27.8</v>
      </c>
      <c r="L3" s="2">
        <v>4.8099999999999996</v>
      </c>
      <c r="M3" s="2" t="s">
        <v>7</v>
      </c>
      <c r="N3" s="2">
        <v>0.04</v>
      </c>
      <c r="O3" s="2">
        <v>0.79</v>
      </c>
      <c r="P3" s="2">
        <v>3.67</v>
      </c>
      <c r="Q3" s="2">
        <v>54.65</v>
      </c>
      <c r="R3" s="2">
        <v>319</v>
      </c>
      <c r="S3" s="2" t="s">
        <v>7</v>
      </c>
    </row>
    <row r="4" spans="1:19" x14ac:dyDescent="0.25">
      <c r="A4" s="3">
        <v>45875</v>
      </c>
      <c r="B4" s="2" t="s">
        <v>3</v>
      </c>
      <c r="C4" s="2" t="s">
        <v>11</v>
      </c>
      <c r="D4" s="2" t="s">
        <v>23</v>
      </c>
      <c r="E4" s="4">
        <v>7.8</v>
      </c>
      <c r="F4" s="4">
        <v>23</v>
      </c>
      <c r="G4" s="4">
        <v>4968</v>
      </c>
      <c r="H4" s="4">
        <f t="shared" si="0"/>
        <v>4.6296296296296294E-3</v>
      </c>
      <c r="I4" s="4">
        <v>2.7</v>
      </c>
      <c r="J4" s="4">
        <v>59.5</v>
      </c>
      <c r="K4" s="2">
        <v>17.72</v>
      </c>
      <c r="L4" s="2">
        <v>3.46</v>
      </c>
      <c r="M4" s="2">
        <v>0.17</v>
      </c>
      <c r="N4" s="2" t="s">
        <v>7</v>
      </c>
      <c r="O4" s="2">
        <v>0.64</v>
      </c>
      <c r="P4" s="2">
        <v>3.17</v>
      </c>
      <c r="Q4" s="2">
        <v>54.05</v>
      </c>
      <c r="R4" s="2">
        <v>404</v>
      </c>
      <c r="S4" s="2" t="s">
        <v>7</v>
      </c>
    </row>
    <row r="5" spans="1:19" x14ac:dyDescent="0.25">
      <c r="A5" s="3">
        <v>45875</v>
      </c>
      <c r="B5" s="2" t="s">
        <v>4</v>
      </c>
      <c r="C5" s="2" t="s">
        <v>11</v>
      </c>
      <c r="D5" s="2" t="s">
        <v>23</v>
      </c>
      <c r="E5" s="4">
        <v>7.8</v>
      </c>
      <c r="F5" s="4">
        <v>30</v>
      </c>
      <c r="G5" s="4">
        <v>4854</v>
      </c>
      <c r="H5" s="4">
        <f t="shared" si="0"/>
        <v>6.180469715698393E-3</v>
      </c>
      <c r="I5" s="4">
        <v>2.7</v>
      </c>
      <c r="J5" s="4">
        <v>59.8</v>
      </c>
      <c r="K5" s="2">
        <v>23.63</v>
      </c>
      <c r="L5" s="2">
        <v>4.8499999999999996</v>
      </c>
      <c r="M5" s="2">
        <v>0.47</v>
      </c>
      <c r="N5" s="2" t="s">
        <v>7</v>
      </c>
      <c r="O5" s="2">
        <v>1.37</v>
      </c>
      <c r="P5" s="2">
        <v>2.81</v>
      </c>
      <c r="Q5" s="2">
        <v>55</v>
      </c>
      <c r="R5" s="2">
        <v>481</v>
      </c>
      <c r="S5" s="2" t="s">
        <v>7</v>
      </c>
    </row>
    <row r="6" spans="1:19" x14ac:dyDescent="0.25">
      <c r="A6" s="3">
        <v>45875</v>
      </c>
      <c r="B6" s="2" t="s">
        <v>5</v>
      </c>
      <c r="C6" s="2" t="s">
        <v>11</v>
      </c>
      <c r="D6" s="2" t="s">
        <v>23</v>
      </c>
      <c r="E6" s="4">
        <v>7.8</v>
      </c>
      <c r="F6" s="4">
        <v>26</v>
      </c>
      <c r="G6" s="4">
        <v>4955</v>
      </c>
      <c r="H6" s="4">
        <f t="shared" si="0"/>
        <v>5.247225025227043E-3</v>
      </c>
      <c r="I6" s="4">
        <v>2.7</v>
      </c>
      <c r="J6" s="4">
        <v>59.6</v>
      </c>
      <c r="K6" s="2">
        <v>19.579999999999998</v>
      </c>
      <c r="L6" s="2">
        <v>3.99</v>
      </c>
      <c r="M6" s="2">
        <v>0.1</v>
      </c>
      <c r="N6" s="2" t="s">
        <v>7</v>
      </c>
      <c r="O6" s="2">
        <v>1.17</v>
      </c>
      <c r="P6" s="2">
        <v>3.62</v>
      </c>
      <c r="Q6" s="2">
        <v>54.97</v>
      </c>
      <c r="R6" s="2">
        <v>240</v>
      </c>
      <c r="S6" s="2" t="s">
        <v>7</v>
      </c>
    </row>
    <row r="7" spans="1:19" x14ac:dyDescent="0.25">
      <c r="A7" s="3">
        <v>45875</v>
      </c>
      <c r="B7" s="2" t="s">
        <v>6</v>
      </c>
      <c r="C7" s="2" t="s">
        <v>11</v>
      </c>
      <c r="D7" s="2" t="s">
        <v>23</v>
      </c>
      <c r="E7" s="4">
        <v>7.8</v>
      </c>
      <c r="F7" s="4">
        <v>21</v>
      </c>
      <c r="G7" s="4">
        <v>4998</v>
      </c>
      <c r="H7" s="4">
        <f t="shared" si="0"/>
        <v>4.2016806722689074E-3</v>
      </c>
      <c r="I7" s="4">
        <v>2.7</v>
      </c>
      <c r="J7" s="4">
        <v>59.4</v>
      </c>
      <c r="K7" s="2">
        <v>15.82</v>
      </c>
      <c r="L7" s="2">
        <v>2.96</v>
      </c>
      <c r="M7" s="2">
        <v>0.12</v>
      </c>
      <c r="N7" s="2">
        <v>0.52</v>
      </c>
      <c r="O7" s="2">
        <v>0.91</v>
      </c>
      <c r="P7" s="2">
        <v>2.57</v>
      </c>
      <c r="Q7" s="2">
        <v>54.98</v>
      </c>
      <c r="R7" s="2">
        <v>321</v>
      </c>
      <c r="S7" s="2" t="s">
        <v>7</v>
      </c>
    </row>
    <row r="8" spans="1:19" x14ac:dyDescent="0.25">
      <c r="A8" s="3">
        <v>45882</v>
      </c>
      <c r="B8" s="2" t="s">
        <v>1</v>
      </c>
      <c r="C8" s="2" t="s">
        <v>11</v>
      </c>
      <c r="D8" s="2" t="s">
        <v>23</v>
      </c>
      <c r="E8" s="4" t="s">
        <v>7</v>
      </c>
      <c r="F8" s="4">
        <v>56</v>
      </c>
      <c r="G8" s="4" t="s">
        <v>7</v>
      </c>
      <c r="H8" s="4" t="s">
        <v>7</v>
      </c>
      <c r="I8" s="4">
        <v>2.7</v>
      </c>
      <c r="J8" s="4">
        <v>61.8</v>
      </c>
      <c r="K8" s="2">
        <v>48.12</v>
      </c>
      <c r="L8" s="2">
        <v>5.36</v>
      </c>
      <c r="M8" s="2">
        <v>0.28999999999999998</v>
      </c>
      <c r="N8" s="2">
        <v>0.41</v>
      </c>
      <c r="O8" s="2">
        <v>1.22</v>
      </c>
      <c r="P8" s="2">
        <v>3.73</v>
      </c>
      <c r="Q8" s="2">
        <v>55</v>
      </c>
      <c r="R8" s="2">
        <v>535</v>
      </c>
      <c r="S8" s="2" t="s">
        <v>7</v>
      </c>
    </row>
    <row r="9" spans="1:19" x14ac:dyDescent="0.25">
      <c r="A9" s="3">
        <v>45882</v>
      </c>
      <c r="B9" s="2" t="s">
        <v>2</v>
      </c>
      <c r="C9" s="2" t="s">
        <v>11</v>
      </c>
      <c r="D9" s="2" t="s">
        <v>23</v>
      </c>
      <c r="E9" s="4" t="s">
        <v>7</v>
      </c>
      <c r="F9" s="4">
        <v>71</v>
      </c>
      <c r="G9" s="4" t="s">
        <v>7</v>
      </c>
      <c r="H9" s="4" t="s">
        <v>7</v>
      </c>
      <c r="I9" s="4">
        <v>2.7</v>
      </c>
      <c r="J9" s="4">
        <v>61</v>
      </c>
      <c r="K9" s="2">
        <v>60.8</v>
      </c>
      <c r="L9" s="2">
        <v>7.48</v>
      </c>
      <c r="M9" s="2">
        <v>0.17</v>
      </c>
      <c r="N9" s="2" t="s">
        <v>7</v>
      </c>
      <c r="O9" s="2">
        <v>0.38</v>
      </c>
      <c r="P9" s="2">
        <v>6.1269999999999998</v>
      </c>
      <c r="Q9" s="2">
        <v>54.99</v>
      </c>
      <c r="R9" s="2">
        <v>420</v>
      </c>
      <c r="S9" s="2" t="s">
        <v>7</v>
      </c>
    </row>
    <row r="10" spans="1:19" x14ac:dyDescent="0.25">
      <c r="A10" s="3">
        <v>45882</v>
      </c>
      <c r="B10" s="2" t="s">
        <v>3</v>
      </c>
      <c r="C10" s="2" t="s">
        <v>11</v>
      </c>
      <c r="D10" s="2" t="s">
        <v>23</v>
      </c>
      <c r="E10" s="4" t="s">
        <v>7</v>
      </c>
      <c r="F10" s="4">
        <v>70</v>
      </c>
      <c r="G10" s="4" t="s">
        <v>7</v>
      </c>
      <c r="H10" s="4" t="s">
        <v>7</v>
      </c>
      <c r="I10" s="4">
        <v>2.7</v>
      </c>
      <c r="J10" s="4">
        <v>61.5</v>
      </c>
      <c r="K10" s="2">
        <v>57.38</v>
      </c>
      <c r="L10" s="2">
        <v>8.7200000000000006</v>
      </c>
      <c r="M10" s="2">
        <v>0.2</v>
      </c>
      <c r="N10" s="2">
        <v>0.74</v>
      </c>
      <c r="O10" s="2">
        <v>0.84</v>
      </c>
      <c r="P10" s="2">
        <v>6.66</v>
      </c>
      <c r="Q10" s="2">
        <v>54.98</v>
      </c>
      <c r="R10" s="2">
        <v>653</v>
      </c>
      <c r="S10" s="2" t="s">
        <v>7</v>
      </c>
    </row>
    <row r="11" spans="1:19" x14ac:dyDescent="0.25">
      <c r="A11" s="3">
        <v>45882</v>
      </c>
      <c r="B11" s="2" t="s">
        <v>4</v>
      </c>
      <c r="C11" s="2" t="s">
        <v>11</v>
      </c>
      <c r="D11" s="2" t="s">
        <v>23</v>
      </c>
      <c r="E11" s="4" t="s">
        <v>7</v>
      </c>
      <c r="F11" s="4">
        <v>49</v>
      </c>
      <c r="G11" s="4" t="s">
        <v>7</v>
      </c>
      <c r="H11" s="4" t="s">
        <v>7</v>
      </c>
      <c r="I11" s="4">
        <v>2.7</v>
      </c>
      <c r="J11" s="4">
        <v>61.1</v>
      </c>
      <c r="K11" s="2">
        <v>40.35</v>
      </c>
      <c r="L11" s="2">
        <v>4.5599999999999996</v>
      </c>
      <c r="M11" s="2" t="s">
        <v>7</v>
      </c>
      <c r="N11" s="2">
        <v>0.75</v>
      </c>
      <c r="O11" s="2">
        <v>1.0900000000000001</v>
      </c>
      <c r="P11" s="2">
        <v>5.65</v>
      </c>
      <c r="Q11" s="2">
        <v>55.03</v>
      </c>
      <c r="R11" s="2">
        <v>429</v>
      </c>
      <c r="S11" s="2" t="s">
        <v>7</v>
      </c>
    </row>
    <row r="12" spans="1:19" x14ac:dyDescent="0.25">
      <c r="A12" s="3">
        <v>45882</v>
      </c>
      <c r="B12" s="2" t="s">
        <v>5</v>
      </c>
      <c r="C12" s="2" t="s">
        <v>11</v>
      </c>
      <c r="D12" s="2" t="s">
        <v>23</v>
      </c>
      <c r="E12" s="4" t="s">
        <v>7</v>
      </c>
      <c r="F12" s="4">
        <v>60</v>
      </c>
      <c r="G12" s="4" t="s">
        <v>7</v>
      </c>
      <c r="H12" s="4" t="s">
        <v>7</v>
      </c>
      <c r="I12" s="4">
        <v>2.8</v>
      </c>
      <c r="J12" s="4">
        <v>60.5</v>
      </c>
      <c r="K12" s="2">
        <v>47.4</v>
      </c>
      <c r="L12" s="2">
        <v>6.13</v>
      </c>
      <c r="M12" s="2">
        <v>0.12</v>
      </c>
      <c r="N12" s="2">
        <v>1.91</v>
      </c>
      <c r="O12" s="2">
        <v>3.37</v>
      </c>
      <c r="P12" s="2">
        <v>7.24</v>
      </c>
      <c r="Q12" s="2">
        <v>55.01</v>
      </c>
      <c r="R12" s="2">
        <v>422</v>
      </c>
      <c r="S12" s="2" t="s">
        <v>7</v>
      </c>
    </row>
    <row r="13" spans="1:19" x14ac:dyDescent="0.25">
      <c r="A13" s="3">
        <v>45882</v>
      </c>
      <c r="B13" s="2" t="s">
        <v>6</v>
      </c>
      <c r="C13" s="2" t="s">
        <v>11</v>
      </c>
      <c r="D13" s="2" t="s">
        <v>23</v>
      </c>
      <c r="E13" s="4" t="s">
        <v>7</v>
      </c>
      <c r="F13" s="4">
        <v>27</v>
      </c>
      <c r="G13" s="4" t="s">
        <v>7</v>
      </c>
      <c r="H13" s="4" t="s">
        <v>7</v>
      </c>
      <c r="I13" s="4">
        <v>2.8</v>
      </c>
      <c r="J13" s="4">
        <v>61.1</v>
      </c>
      <c r="K13" s="2">
        <v>21.29</v>
      </c>
      <c r="L13" s="2">
        <v>2.2400000000000002</v>
      </c>
      <c r="M13" s="2">
        <v>0.05</v>
      </c>
      <c r="N13" s="2">
        <v>0.77</v>
      </c>
      <c r="O13" s="2">
        <v>1.08</v>
      </c>
      <c r="P13" s="2">
        <v>5.18</v>
      </c>
      <c r="Q13" s="2">
        <v>54.98</v>
      </c>
      <c r="R13" s="2">
        <v>516</v>
      </c>
      <c r="S13" s="2" t="s">
        <v>7</v>
      </c>
    </row>
    <row r="14" spans="1:19" x14ac:dyDescent="0.25">
      <c r="A14" s="3">
        <v>45889</v>
      </c>
      <c r="B14" s="2" t="s">
        <v>1</v>
      </c>
      <c r="C14" s="2" t="s">
        <v>11</v>
      </c>
      <c r="D14" s="2" t="s">
        <v>24</v>
      </c>
      <c r="E14" s="4">
        <v>7.8</v>
      </c>
      <c r="F14" s="2" t="s">
        <v>7</v>
      </c>
      <c r="G14" s="4">
        <v>5056</v>
      </c>
      <c r="H14" s="4" t="s">
        <v>7</v>
      </c>
      <c r="I14" s="4">
        <v>2.7</v>
      </c>
      <c r="J14" s="4">
        <v>60.5</v>
      </c>
      <c r="K14" s="2">
        <v>17.670000000000002</v>
      </c>
      <c r="L14" s="2">
        <v>1.8</v>
      </c>
      <c r="M14" s="2" t="s">
        <v>7</v>
      </c>
      <c r="N14" s="2" t="s">
        <v>7</v>
      </c>
      <c r="O14" s="2">
        <v>0.52</v>
      </c>
      <c r="P14" s="2">
        <v>0.46</v>
      </c>
      <c r="Q14" s="2">
        <v>55.04</v>
      </c>
      <c r="R14" s="2">
        <v>567</v>
      </c>
      <c r="S14" s="2" t="s">
        <v>7</v>
      </c>
    </row>
    <row r="15" spans="1:19" x14ac:dyDescent="0.25">
      <c r="A15" s="3">
        <v>45889</v>
      </c>
      <c r="B15" s="2" t="s">
        <v>2</v>
      </c>
      <c r="C15" s="2" t="s">
        <v>11</v>
      </c>
      <c r="D15" s="2" t="s">
        <v>24</v>
      </c>
      <c r="E15" s="4">
        <v>7.8</v>
      </c>
      <c r="F15" s="2" t="s">
        <v>7</v>
      </c>
      <c r="G15" s="4">
        <v>5050</v>
      </c>
      <c r="H15" s="4" t="s">
        <v>7</v>
      </c>
      <c r="I15" s="4">
        <v>2.5</v>
      </c>
      <c r="J15" s="4">
        <v>60</v>
      </c>
      <c r="K15" s="2">
        <v>15.42</v>
      </c>
      <c r="L15" s="2">
        <v>2.2599999999999998</v>
      </c>
      <c r="M15" s="2" t="s">
        <v>7</v>
      </c>
      <c r="N15" s="2" t="s">
        <v>7</v>
      </c>
      <c r="O15" s="2" t="s">
        <v>7</v>
      </c>
      <c r="P15" s="2">
        <v>4.5999999999999996</v>
      </c>
      <c r="Q15" s="2">
        <v>55.03</v>
      </c>
      <c r="R15" s="2">
        <v>733</v>
      </c>
      <c r="S15" s="2" t="s">
        <v>7</v>
      </c>
    </row>
    <row r="16" spans="1:19" x14ac:dyDescent="0.25">
      <c r="A16" s="3">
        <v>45889</v>
      </c>
      <c r="B16" s="2" t="s">
        <v>3</v>
      </c>
      <c r="C16" s="2" t="s">
        <v>11</v>
      </c>
      <c r="D16" s="2" t="s">
        <v>24</v>
      </c>
      <c r="E16" s="4">
        <v>7.8</v>
      </c>
      <c r="F16" s="2" t="s">
        <v>7</v>
      </c>
      <c r="G16" s="4">
        <v>5027</v>
      </c>
      <c r="H16" s="4" t="s">
        <v>7</v>
      </c>
      <c r="I16" s="4">
        <v>2.4</v>
      </c>
      <c r="J16" s="4">
        <v>60.1</v>
      </c>
      <c r="K16" s="2">
        <v>25.23</v>
      </c>
      <c r="L16" s="2">
        <v>2.48</v>
      </c>
      <c r="M16" s="2" t="s">
        <v>7</v>
      </c>
      <c r="N16" s="2" t="s">
        <v>7</v>
      </c>
      <c r="O16" s="2">
        <v>0.61</v>
      </c>
      <c r="P16" s="2">
        <v>3.59</v>
      </c>
      <c r="Q16" s="2">
        <v>55.03</v>
      </c>
      <c r="R16" s="2">
        <v>539</v>
      </c>
      <c r="S16" s="2" t="s">
        <v>7</v>
      </c>
    </row>
    <row r="17" spans="1:19" x14ac:dyDescent="0.25">
      <c r="A17" s="3">
        <v>45889</v>
      </c>
      <c r="B17" s="2" t="s">
        <v>4</v>
      </c>
      <c r="C17" s="2" t="s">
        <v>11</v>
      </c>
      <c r="D17" s="2" t="s">
        <v>24</v>
      </c>
      <c r="E17" s="4">
        <v>7.8</v>
      </c>
      <c r="F17" s="2" t="s">
        <v>7</v>
      </c>
      <c r="G17" s="4">
        <v>5000</v>
      </c>
      <c r="H17" s="4" t="s">
        <v>7</v>
      </c>
      <c r="I17" s="4">
        <v>2.5</v>
      </c>
      <c r="J17" s="4">
        <v>60.6</v>
      </c>
      <c r="K17" s="2">
        <v>19.41</v>
      </c>
      <c r="L17" s="2">
        <v>1.97</v>
      </c>
      <c r="M17" s="2" t="s">
        <v>7</v>
      </c>
      <c r="N17" s="2">
        <v>0.37</v>
      </c>
      <c r="O17" s="2" t="s">
        <v>7</v>
      </c>
      <c r="P17" s="2">
        <v>3.33</v>
      </c>
      <c r="Q17" s="2">
        <v>55.02</v>
      </c>
      <c r="R17" s="2">
        <v>541</v>
      </c>
      <c r="S17" s="2" t="s">
        <v>7</v>
      </c>
    </row>
    <row r="18" spans="1:19" x14ac:dyDescent="0.25">
      <c r="A18" s="3">
        <v>45889</v>
      </c>
      <c r="B18" s="2" t="s">
        <v>5</v>
      </c>
      <c r="C18" s="2" t="s">
        <v>11</v>
      </c>
      <c r="D18" s="2" t="s">
        <v>24</v>
      </c>
      <c r="E18" s="4">
        <v>7.8</v>
      </c>
      <c r="F18" s="2" t="s">
        <v>7</v>
      </c>
      <c r="G18" s="4">
        <v>5000</v>
      </c>
      <c r="H18" s="4" t="s">
        <v>7</v>
      </c>
      <c r="I18" s="4">
        <v>2.5</v>
      </c>
      <c r="J18" s="4">
        <v>60.3</v>
      </c>
      <c r="K18" s="2">
        <v>19.68</v>
      </c>
      <c r="L18" s="2">
        <v>1.9</v>
      </c>
      <c r="M18" s="2" t="s">
        <v>7</v>
      </c>
      <c r="N18" s="2">
        <v>0.45</v>
      </c>
      <c r="O18" s="2" t="s">
        <v>7</v>
      </c>
      <c r="P18" s="2">
        <v>3.7</v>
      </c>
      <c r="Q18" s="2">
        <v>55.06</v>
      </c>
      <c r="R18" s="2">
        <v>548</v>
      </c>
      <c r="S18" s="2" t="s">
        <v>7</v>
      </c>
    </row>
    <row r="19" spans="1:19" x14ac:dyDescent="0.25">
      <c r="A19" s="3">
        <v>45889</v>
      </c>
      <c r="B19" s="2" t="s">
        <v>6</v>
      </c>
      <c r="C19" s="2" t="s">
        <v>11</v>
      </c>
      <c r="D19" s="2" t="s">
        <v>24</v>
      </c>
      <c r="E19" s="4">
        <v>7.8</v>
      </c>
      <c r="F19" s="2" t="s">
        <v>7</v>
      </c>
      <c r="G19" s="4">
        <v>5103</v>
      </c>
      <c r="H19" s="4" t="s">
        <v>7</v>
      </c>
      <c r="I19" s="4">
        <v>2.7</v>
      </c>
      <c r="J19" s="4">
        <v>60</v>
      </c>
      <c r="K19" s="2">
        <v>19.02</v>
      </c>
      <c r="L19" s="2">
        <v>2.2799999999999998</v>
      </c>
      <c r="M19" s="2" t="s">
        <v>7</v>
      </c>
      <c r="N19" s="2">
        <v>0.26</v>
      </c>
      <c r="O19" s="2" t="s">
        <v>7</v>
      </c>
      <c r="P19" s="2">
        <v>3.48</v>
      </c>
      <c r="Q19" s="2">
        <v>55.13</v>
      </c>
      <c r="R19" s="2">
        <v>378</v>
      </c>
      <c r="S19" s="2" t="s">
        <v>7</v>
      </c>
    </row>
    <row r="20" spans="1:19" x14ac:dyDescent="0.25">
      <c r="A20" s="3">
        <v>45938</v>
      </c>
      <c r="B20" s="2" t="s">
        <v>1</v>
      </c>
      <c r="C20" s="2" t="s">
        <v>11</v>
      </c>
      <c r="D20" s="2" t="s">
        <v>24</v>
      </c>
      <c r="E20" s="2">
        <v>7.7</v>
      </c>
      <c r="F20" s="2">
        <v>25</v>
      </c>
      <c r="G20" s="2">
        <v>4532</v>
      </c>
      <c r="H20" s="4">
        <f t="shared" si="0"/>
        <v>5.5163283318623128E-3</v>
      </c>
      <c r="I20" s="2" t="s">
        <v>7</v>
      </c>
      <c r="J20" s="2" t="s">
        <v>7</v>
      </c>
      <c r="K20" s="2">
        <v>22.25</v>
      </c>
      <c r="L20" s="2">
        <v>2.78</v>
      </c>
      <c r="M20" s="2" t="s">
        <v>7</v>
      </c>
      <c r="N20" s="2">
        <v>0.86</v>
      </c>
      <c r="O20" s="2" t="s">
        <v>7</v>
      </c>
      <c r="P20" s="2" t="s">
        <v>7</v>
      </c>
      <c r="Q20" s="2">
        <v>55.05</v>
      </c>
      <c r="R20" s="2">
        <v>590</v>
      </c>
      <c r="S20" s="2" t="s">
        <v>7</v>
      </c>
    </row>
    <row r="21" spans="1:19" x14ac:dyDescent="0.25">
      <c r="A21" s="3">
        <v>45938</v>
      </c>
      <c r="B21" s="2" t="s">
        <v>2</v>
      </c>
      <c r="C21" s="2" t="s">
        <v>11</v>
      </c>
      <c r="D21" s="2" t="s">
        <v>24</v>
      </c>
      <c r="E21" s="2">
        <v>7.6</v>
      </c>
      <c r="F21" s="2">
        <v>10</v>
      </c>
      <c r="G21" s="2">
        <v>4521</v>
      </c>
      <c r="H21" s="4">
        <f t="shared" si="0"/>
        <v>2.2119000221190004E-3</v>
      </c>
      <c r="I21" s="2" t="s">
        <v>7</v>
      </c>
      <c r="J21" s="2" t="s">
        <v>7</v>
      </c>
      <c r="K21" s="2">
        <v>8.17</v>
      </c>
      <c r="L21" s="2">
        <v>1.66</v>
      </c>
      <c r="M21" s="2" t="s">
        <v>7</v>
      </c>
      <c r="N21" s="2" t="s">
        <v>7</v>
      </c>
      <c r="O21" s="2" t="s">
        <v>7</v>
      </c>
      <c r="P21" s="2" t="s">
        <v>7</v>
      </c>
      <c r="Q21" s="2">
        <v>55.01</v>
      </c>
      <c r="R21" s="2">
        <v>707</v>
      </c>
      <c r="S21" s="2" t="s">
        <v>7</v>
      </c>
    </row>
    <row r="22" spans="1:19" x14ac:dyDescent="0.25">
      <c r="A22" s="3">
        <v>45938</v>
      </c>
      <c r="B22" s="2" t="s">
        <v>3</v>
      </c>
      <c r="C22" s="2" t="s">
        <v>11</v>
      </c>
      <c r="D22" s="2" t="s">
        <v>24</v>
      </c>
      <c r="E22" s="2">
        <v>7.6</v>
      </c>
      <c r="F22" s="2">
        <v>13</v>
      </c>
      <c r="G22" s="2">
        <v>4512</v>
      </c>
      <c r="H22" s="4">
        <f t="shared" si="0"/>
        <v>2.8812056737588651E-3</v>
      </c>
      <c r="I22" s="2" t="s">
        <v>7</v>
      </c>
      <c r="J22" s="2" t="s">
        <v>7</v>
      </c>
      <c r="K22" s="2">
        <v>8.9</v>
      </c>
      <c r="L22" s="2">
        <v>3.36</v>
      </c>
      <c r="M22" s="2">
        <v>1.61</v>
      </c>
      <c r="N22" s="2" t="s">
        <v>7</v>
      </c>
      <c r="O22" s="2" t="s">
        <v>7</v>
      </c>
      <c r="P22" s="2" t="s">
        <v>7</v>
      </c>
      <c r="Q22" s="2">
        <v>55.02</v>
      </c>
      <c r="R22" s="2">
        <v>656</v>
      </c>
      <c r="S22" s="2" t="s">
        <v>7</v>
      </c>
    </row>
    <row r="23" spans="1:19" x14ac:dyDescent="0.25">
      <c r="A23" s="3">
        <v>45938</v>
      </c>
      <c r="B23" s="2" t="s">
        <v>4</v>
      </c>
      <c r="C23" s="2" t="s">
        <v>11</v>
      </c>
      <c r="D23" s="2" t="s">
        <v>24</v>
      </c>
      <c r="E23" s="2">
        <v>7.7</v>
      </c>
      <c r="F23" s="2">
        <v>15</v>
      </c>
      <c r="G23" s="2">
        <v>4466</v>
      </c>
      <c r="H23" s="4">
        <f t="shared" si="0"/>
        <v>3.3587102552619795E-3</v>
      </c>
      <c r="I23" s="2" t="s">
        <v>7</v>
      </c>
      <c r="J23" s="2" t="s">
        <v>7</v>
      </c>
      <c r="K23" s="2">
        <v>11.17</v>
      </c>
      <c r="L23" s="2">
        <v>2.2200000000000002</v>
      </c>
      <c r="M23" s="2">
        <v>1.27</v>
      </c>
      <c r="N23" s="2">
        <v>0.8</v>
      </c>
      <c r="O23" s="2">
        <v>1.48</v>
      </c>
      <c r="P23" s="2" t="s">
        <v>7</v>
      </c>
      <c r="Q23" s="2">
        <v>55.03</v>
      </c>
      <c r="R23" s="2">
        <v>648</v>
      </c>
      <c r="S23" s="2" t="s">
        <v>7</v>
      </c>
    </row>
    <row r="24" spans="1:19" x14ac:dyDescent="0.25">
      <c r="A24" s="3">
        <v>45938</v>
      </c>
      <c r="B24" s="2" t="s">
        <v>5</v>
      </c>
      <c r="C24" s="2" t="s">
        <v>11</v>
      </c>
      <c r="D24" s="2" t="s">
        <v>24</v>
      </c>
      <c r="E24" s="2">
        <v>7.7</v>
      </c>
      <c r="F24" s="2">
        <v>38</v>
      </c>
      <c r="G24" s="2">
        <v>4561</v>
      </c>
      <c r="H24" s="4">
        <f t="shared" si="0"/>
        <v>8.331506248629687E-3</v>
      </c>
      <c r="I24" s="2" t="s">
        <v>7</v>
      </c>
      <c r="J24" s="2" t="s">
        <v>7</v>
      </c>
      <c r="K24" s="2">
        <v>33.450000000000003</v>
      </c>
      <c r="L24" s="2">
        <v>4.95</v>
      </c>
      <c r="M24" s="2" t="s">
        <v>7</v>
      </c>
      <c r="N24" s="2">
        <v>0.65</v>
      </c>
      <c r="O24" s="2">
        <v>0.97</v>
      </c>
      <c r="P24" s="2" t="s">
        <v>7</v>
      </c>
      <c r="Q24" s="2">
        <v>55</v>
      </c>
      <c r="R24" s="2">
        <v>641</v>
      </c>
      <c r="S24" s="2" t="s">
        <v>7</v>
      </c>
    </row>
    <row r="25" spans="1:19" x14ac:dyDescent="0.25">
      <c r="A25" s="3">
        <v>45938</v>
      </c>
      <c r="B25" s="2" t="s">
        <v>6</v>
      </c>
      <c r="C25" s="2" t="s">
        <v>11</v>
      </c>
      <c r="D25" s="2" t="s">
        <v>24</v>
      </c>
      <c r="E25" s="2">
        <v>7.7</v>
      </c>
      <c r="F25" s="2">
        <v>168</v>
      </c>
      <c r="G25" s="2">
        <v>4607</v>
      </c>
      <c r="H25" s="4">
        <f t="shared" si="0"/>
        <v>3.6466247015411332E-2</v>
      </c>
      <c r="I25" s="2" t="s">
        <v>7</v>
      </c>
      <c r="J25" s="2" t="s">
        <v>7</v>
      </c>
      <c r="K25" s="2">
        <v>144.05000000000001</v>
      </c>
      <c r="L25" s="2">
        <v>24.34</v>
      </c>
      <c r="M25" s="2">
        <v>2.41</v>
      </c>
      <c r="N25" s="2">
        <v>1.7</v>
      </c>
      <c r="O25" s="2">
        <v>1.84</v>
      </c>
      <c r="P25" s="2" t="s">
        <v>7</v>
      </c>
      <c r="Q25" s="2">
        <v>55</v>
      </c>
      <c r="R25" s="2">
        <v>732</v>
      </c>
      <c r="S25" s="2" t="s">
        <v>7</v>
      </c>
    </row>
    <row r="26" spans="1:19" x14ac:dyDescent="0.25">
      <c r="A26" s="3">
        <v>45945</v>
      </c>
      <c r="B26" s="2" t="s">
        <v>1</v>
      </c>
      <c r="C26" s="2" t="s">
        <v>11</v>
      </c>
      <c r="D26" s="2" t="s">
        <v>24</v>
      </c>
      <c r="E26" s="2">
        <v>7.7</v>
      </c>
      <c r="F26" s="2">
        <v>18</v>
      </c>
      <c r="G26" s="2">
        <v>4697</v>
      </c>
      <c r="H26" s="4">
        <f t="shared" si="0"/>
        <v>3.8322333404300617E-3</v>
      </c>
      <c r="I26" s="2">
        <v>2.5</v>
      </c>
      <c r="J26" s="2">
        <v>61.7</v>
      </c>
      <c r="K26" s="2">
        <v>17.09</v>
      </c>
      <c r="L26" s="2">
        <v>1.47</v>
      </c>
      <c r="M26" s="2" t="s">
        <v>7</v>
      </c>
      <c r="N26" s="2" t="s">
        <v>7</v>
      </c>
      <c r="O26" s="2" t="s">
        <v>7</v>
      </c>
      <c r="P26" s="2" t="s">
        <v>7</v>
      </c>
      <c r="Q26" s="2">
        <v>55</v>
      </c>
      <c r="R26" s="2">
        <v>383</v>
      </c>
      <c r="S26" s="2" t="s">
        <v>7</v>
      </c>
    </row>
    <row r="27" spans="1:19" x14ac:dyDescent="0.25">
      <c r="A27" s="3">
        <v>45945</v>
      </c>
      <c r="B27" s="2" t="s">
        <v>2</v>
      </c>
      <c r="C27" s="2" t="s">
        <v>11</v>
      </c>
      <c r="D27" s="2" t="s">
        <v>24</v>
      </c>
      <c r="E27" s="2">
        <v>7.7</v>
      </c>
      <c r="F27" s="2">
        <v>43</v>
      </c>
      <c r="G27" s="2">
        <v>4753</v>
      </c>
      <c r="H27" s="4">
        <f t="shared" si="0"/>
        <v>9.0469177361666309E-3</v>
      </c>
      <c r="I27" s="2">
        <v>2.5</v>
      </c>
      <c r="J27" s="2">
        <v>61.4</v>
      </c>
      <c r="K27" s="2">
        <v>40.96</v>
      </c>
      <c r="L27" s="2">
        <v>2.97</v>
      </c>
      <c r="M27" s="2" t="s">
        <v>7</v>
      </c>
      <c r="N27" s="2" t="s">
        <v>7</v>
      </c>
      <c r="O27" s="2" t="s">
        <v>7</v>
      </c>
      <c r="P27" s="2" t="s">
        <v>7</v>
      </c>
      <c r="Q27" s="2">
        <v>54.99</v>
      </c>
      <c r="R27" s="2">
        <v>522</v>
      </c>
      <c r="S27" s="2" t="s">
        <v>7</v>
      </c>
    </row>
    <row r="28" spans="1:19" x14ac:dyDescent="0.25">
      <c r="A28" s="3">
        <v>45945</v>
      </c>
      <c r="B28" s="2" t="s">
        <v>3</v>
      </c>
      <c r="C28" s="2" t="s">
        <v>11</v>
      </c>
      <c r="D28" s="2" t="s">
        <v>24</v>
      </c>
      <c r="E28" s="2">
        <v>7.6</v>
      </c>
      <c r="F28" s="2">
        <v>20</v>
      </c>
      <c r="G28" s="2">
        <v>4682</v>
      </c>
      <c r="H28" s="4">
        <f t="shared" si="0"/>
        <v>4.2716787697565147E-3</v>
      </c>
      <c r="I28" s="2">
        <v>3.1</v>
      </c>
      <c r="J28" s="2">
        <v>60.9</v>
      </c>
      <c r="K28" s="2">
        <v>18.57</v>
      </c>
      <c r="L28" s="2">
        <v>2.12</v>
      </c>
      <c r="M28" s="2" t="s">
        <v>7</v>
      </c>
      <c r="N28" s="2" t="s">
        <v>7</v>
      </c>
      <c r="O28" s="2" t="s">
        <v>7</v>
      </c>
      <c r="P28" s="2" t="s">
        <v>7</v>
      </c>
      <c r="Q28" s="2">
        <v>55.02</v>
      </c>
      <c r="R28" s="2">
        <v>554</v>
      </c>
      <c r="S28" s="2" t="s">
        <v>7</v>
      </c>
    </row>
    <row r="29" spans="1:19" x14ac:dyDescent="0.25">
      <c r="A29" s="3">
        <v>45945</v>
      </c>
      <c r="B29" s="2" t="s">
        <v>4</v>
      </c>
      <c r="C29" s="2" t="s">
        <v>11</v>
      </c>
      <c r="D29" s="2" t="s">
        <v>24</v>
      </c>
      <c r="E29" s="2">
        <v>7.7</v>
      </c>
      <c r="F29" s="2">
        <v>26</v>
      </c>
      <c r="G29" s="2">
        <v>4666</v>
      </c>
      <c r="H29" s="4">
        <f t="shared" si="0"/>
        <v>5.5722246035147882E-3</v>
      </c>
      <c r="I29" s="2">
        <v>2.5</v>
      </c>
      <c r="J29" s="2">
        <v>61.5</v>
      </c>
      <c r="K29" s="2">
        <v>22.88</v>
      </c>
      <c r="L29" s="2">
        <v>3.44</v>
      </c>
      <c r="M29" s="2" t="s">
        <v>7</v>
      </c>
      <c r="N29" s="2" t="s">
        <v>7</v>
      </c>
      <c r="O29" s="2" t="s">
        <v>7</v>
      </c>
      <c r="P29" s="2" t="s">
        <v>7</v>
      </c>
      <c r="Q29" s="2">
        <v>55</v>
      </c>
      <c r="R29" s="2">
        <v>573</v>
      </c>
      <c r="S29" s="2" t="s">
        <v>7</v>
      </c>
    </row>
    <row r="30" spans="1:19" x14ac:dyDescent="0.25">
      <c r="A30" s="3">
        <v>45945</v>
      </c>
      <c r="B30" s="2" t="s">
        <v>5</v>
      </c>
      <c r="C30" s="2" t="s">
        <v>11</v>
      </c>
      <c r="D30" s="2" t="s">
        <v>24</v>
      </c>
      <c r="E30" s="2">
        <v>7.7</v>
      </c>
      <c r="F30" s="2">
        <v>20</v>
      </c>
      <c r="G30" s="2">
        <v>4686</v>
      </c>
      <c r="H30" s="4">
        <f t="shared" si="0"/>
        <v>4.268032437046522E-3</v>
      </c>
      <c r="I30" s="2">
        <v>2.4</v>
      </c>
      <c r="J30" s="2">
        <v>61.5</v>
      </c>
      <c r="K30" s="2">
        <v>18.8</v>
      </c>
      <c r="L30" s="2">
        <v>1.57</v>
      </c>
      <c r="M30" s="2" t="s">
        <v>7</v>
      </c>
      <c r="N30" s="2" t="s">
        <v>7</v>
      </c>
      <c r="O30" s="2" t="s">
        <v>7</v>
      </c>
      <c r="P30" s="2" t="s">
        <v>7</v>
      </c>
      <c r="Q30" s="2">
        <v>55.01</v>
      </c>
      <c r="R30" s="2">
        <v>554</v>
      </c>
      <c r="S30" s="2" t="s">
        <v>7</v>
      </c>
    </row>
    <row r="31" spans="1:19" x14ac:dyDescent="0.25">
      <c r="A31" s="3">
        <v>45945</v>
      </c>
      <c r="B31" s="2" t="s">
        <v>6</v>
      </c>
      <c r="C31" s="2" t="s">
        <v>11</v>
      </c>
      <c r="D31" s="2" t="s">
        <v>24</v>
      </c>
      <c r="E31" s="2">
        <v>7.8</v>
      </c>
      <c r="F31" s="2">
        <v>32</v>
      </c>
      <c r="G31" s="2">
        <v>4741</v>
      </c>
      <c r="H31" s="4">
        <f t="shared" si="0"/>
        <v>6.749630879561274E-3</v>
      </c>
      <c r="I31" s="2">
        <v>2.5</v>
      </c>
      <c r="J31" s="2">
        <v>61.3</v>
      </c>
      <c r="K31" s="2">
        <v>29.74</v>
      </c>
      <c r="L31" s="2">
        <v>2.65</v>
      </c>
      <c r="M31" s="2" t="s">
        <v>7</v>
      </c>
      <c r="N31" s="2" t="s">
        <v>7</v>
      </c>
      <c r="O31" s="2" t="s">
        <v>7</v>
      </c>
      <c r="P31" s="2" t="s">
        <v>7</v>
      </c>
      <c r="Q31" s="2">
        <v>54.97</v>
      </c>
      <c r="R31" s="2">
        <v>504</v>
      </c>
      <c r="S31" s="2" t="s">
        <v>7</v>
      </c>
    </row>
    <row r="32" spans="1:19" x14ac:dyDescent="0.25">
      <c r="A32" s="3">
        <v>45952</v>
      </c>
      <c r="B32" s="2" t="s">
        <v>1</v>
      </c>
      <c r="C32" s="2" t="s">
        <v>11</v>
      </c>
      <c r="D32" s="2" t="s">
        <v>24</v>
      </c>
      <c r="E32" s="2">
        <v>7.8</v>
      </c>
      <c r="F32" s="2">
        <v>72</v>
      </c>
      <c r="G32" s="2">
        <v>4768</v>
      </c>
      <c r="H32" s="4">
        <f t="shared" si="0"/>
        <v>1.5100671140939598E-2</v>
      </c>
      <c r="I32" s="2">
        <v>2.5</v>
      </c>
      <c r="J32" s="2">
        <v>61.2</v>
      </c>
      <c r="K32" s="2">
        <v>51.54</v>
      </c>
      <c r="L32" s="2">
        <v>17.559999999999999</v>
      </c>
      <c r="M32" s="2">
        <v>2.6</v>
      </c>
      <c r="N32" s="2">
        <v>2.2799999999999998</v>
      </c>
      <c r="O32" s="2">
        <v>2.95</v>
      </c>
      <c r="P32" s="2">
        <v>2.5299999999999998</v>
      </c>
      <c r="Q32" s="2">
        <v>54.92</v>
      </c>
      <c r="R32" s="2">
        <v>504</v>
      </c>
      <c r="S32" s="2" t="s">
        <v>7</v>
      </c>
    </row>
    <row r="33" spans="1:19" x14ac:dyDescent="0.25">
      <c r="A33" s="3">
        <v>45952</v>
      </c>
      <c r="B33" s="2" t="s">
        <v>2</v>
      </c>
      <c r="C33" s="2" t="s">
        <v>11</v>
      </c>
      <c r="D33" s="2" t="s">
        <v>24</v>
      </c>
      <c r="E33" s="2">
        <v>7.7</v>
      </c>
      <c r="F33" s="2">
        <v>37</v>
      </c>
      <c r="G33" s="2">
        <v>4756</v>
      </c>
      <c r="H33" s="4">
        <f t="shared" si="0"/>
        <v>7.7796467619848609E-3</v>
      </c>
      <c r="I33" s="2">
        <v>2.4</v>
      </c>
      <c r="J33" s="2">
        <v>60.9</v>
      </c>
      <c r="K33" s="2">
        <v>26.31</v>
      </c>
      <c r="L33" s="2">
        <v>7.24</v>
      </c>
      <c r="M33" s="2">
        <v>2.66</v>
      </c>
      <c r="N33" s="2" t="s">
        <v>7</v>
      </c>
      <c r="O33" s="2">
        <v>2.83</v>
      </c>
      <c r="P33" s="2">
        <v>2.37</v>
      </c>
      <c r="Q33" s="2">
        <v>55</v>
      </c>
      <c r="R33" s="2">
        <v>764</v>
      </c>
      <c r="S33" s="2" t="s">
        <v>7</v>
      </c>
    </row>
    <row r="34" spans="1:19" x14ac:dyDescent="0.25">
      <c r="A34" s="3">
        <v>45952</v>
      </c>
      <c r="B34" s="2" t="s">
        <v>3</v>
      </c>
      <c r="C34" s="2" t="s">
        <v>11</v>
      </c>
      <c r="D34" s="2" t="s">
        <v>24</v>
      </c>
      <c r="E34" s="2">
        <v>7.8</v>
      </c>
      <c r="F34" s="2">
        <v>85</v>
      </c>
      <c r="G34" s="2">
        <v>4810</v>
      </c>
      <c r="H34" s="4">
        <f t="shared" si="0"/>
        <v>1.7671517671517672E-2</v>
      </c>
      <c r="I34" s="2">
        <v>2.6</v>
      </c>
      <c r="J34" s="2">
        <v>61.6</v>
      </c>
      <c r="K34" s="2">
        <v>65.41</v>
      </c>
      <c r="L34" s="2">
        <v>17.920000000000002</v>
      </c>
      <c r="M34" s="2">
        <v>2.73</v>
      </c>
      <c r="N34" s="2">
        <v>2.2200000000000002</v>
      </c>
      <c r="O34" s="2">
        <v>3.06</v>
      </c>
      <c r="P34" s="2" t="s">
        <v>7</v>
      </c>
      <c r="Q34" s="2">
        <v>55</v>
      </c>
      <c r="R34" s="2">
        <v>478</v>
      </c>
      <c r="S34" s="2" t="s">
        <v>7</v>
      </c>
    </row>
    <row r="35" spans="1:19" x14ac:dyDescent="0.25">
      <c r="A35" s="3">
        <v>45952</v>
      </c>
      <c r="B35" s="2" t="s">
        <v>4</v>
      </c>
      <c r="C35" s="2" t="s">
        <v>11</v>
      </c>
      <c r="D35" s="2" t="s">
        <v>24</v>
      </c>
      <c r="E35" s="2">
        <v>7.8</v>
      </c>
      <c r="F35" s="2">
        <v>114</v>
      </c>
      <c r="G35" s="2">
        <v>4774</v>
      </c>
      <c r="H35" s="4">
        <f t="shared" si="0"/>
        <v>2.387934645999162E-2</v>
      </c>
      <c r="I35" s="2">
        <v>2.5</v>
      </c>
      <c r="J35" s="2">
        <v>61.2</v>
      </c>
      <c r="K35" s="2">
        <v>88.48</v>
      </c>
      <c r="L35" s="2">
        <v>24.24</v>
      </c>
      <c r="M35" s="2">
        <v>3.77</v>
      </c>
      <c r="N35" s="2">
        <v>2.29</v>
      </c>
      <c r="O35" s="2">
        <v>2.89</v>
      </c>
      <c r="P35" s="2" t="s">
        <v>7</v>
      </c>
      <c r="Q35" s="2">
        <v>54.93</v>
      </c>
      <c r="R35" s="2">
        <v>533</v>
      </c>
      <c r="S35" s="2" t="s">
        <v>7</v>
      </c>
    </row>
    <row r="36" spans="1:19" x14ac:dyDescent="0.25">
      <c r="A36" s="3">
        <v>45952</v>
      </c>
      <c r="B36" s="2" t="s">
        <v>5</v>
      </c>
      <c r="C36" s="2" t="s">
        <v>11</v>
      </c>
      <c r="D36" s="2" t="s">
        <v>24</v>
      </c>
      <c r="E36" s="2">
        <v>7.8</v>
      </c>
      <c r="F36" s="2">
        <v>62</v>
      </c>
      <c r="G36" s="2">
        <v>4780</v>
      </c>
      <c r="H36" s="4">
        <f t="shared" si="0"/>
        <v>1.2970711297071129E-2</v>
      </c>
      <c r="I36" s="2">
        <v>2.6</v>
      </c>
      <c r="J36" s="2">
        <v>61</v>
      </c>
      <c r="K36" s="2">
        <v>46.47</v>
      </c>
      <c r="L36" s="2">
        <v>14.74</v>
      </c>
      <c r="M36" s="2">
        <v>2.7</v>
      </c>
      <c r="N36" s="2" t="s">
        <v>7</v>
      </c>
      <c r="O36" s="2">
        <v>3.49</v>
      </c>
      <c r="P36" s="2" t="s">
        <v>7</v>
      </c>
      <c r="Q36" s="2">
        <v>54.87</v>
      </c>
      <c r="R36" s="2">
        <v>823</v>
      </c>
      <c r="S36" s="2" t="s">
        <v>7</v>
      </c>
    </row>
    <row r="37" spans="1:19" x14ac:dyDescent="0.25">
      <c r="A37" s="3">
        <v>45952</v>
      </c>
      <c r="B37" s="2" t="s">
        <v>6</v>
      </c>
      <c r="C37" s="2" t="s">
        <v>11</v>
      </c>
      <c r="D37" s="2" t="s">
        <v>24</v>
      </c>
      <c r="E37" s="2">
        <v>7.8</v>
      </c>
      <c r="F37" s="2">
        <v>45</v>
      </c>
      <c r="G37" s="2">
        <v>4817</v>
      </c>
      <c r="H37" s="4">
        <f t="shared" si="0"/>
        <v>9.3419140543907001E-3</v>
      </c>
      <c r="I37" s="2">
        <v>2.4</v>
      </c>
      <c r="J37" s="2">
        <v>61.3</v>
      </c>
      <c r="K37" s="2">
        <v>30.96</v>
      </c>
      <c r="L37" s="2">
        <v>8.14</v>
      </c>
      <c r="M37" s="2">
        <v>3.48</v>
      </c>
      <c r="N37" s="2">
        <v>2.41</v>
      </c>
      <c r="O37" s="2">
        <v>3.87</v>
      </c>
      <c r="P37" s="2">
        <v>2.25</v>
      </c>
      <c r="Q37" s="2">
        <v>55.02</v>
      </c>
      <c r="R37" s="2">
        <v>599</v>
      </c>
      <c r="S37" s="2" t="s">
        <v>7</v>
      </c>
    </row>
    <row r="38" spans="1:19" x14ac:dyDescent="0.25">
      <c r="A38" s="3">
        <v>45798</v>
      </c>
      <c r="B38" s="2" t="s">
        <v>30</v>
      </c>
      <c r="C38" s="2" t="s">
        <v>20</v>
      </c>
      <c r="D38" s="2" t="s">
        <v>21</v>
      </c>
      <c r="E38" s="4">
        <v>7.3</v>
      </c>
      <c r="F38" s="4">
        <v>10</v>
      </c>
      <c r="G38" s="4">
        <v>3964</v>
      </c>
      <c r="H38" s="4">
        <f t="shared" si="0"/>
        <v>2.5227043390514633E-3</v>
      </c>
      <c r="I38" s="4">
        <v>3.4</v>
      </c>
      <c r="J38" s="4">
        <v>59.5</v>
      </c>
      <c r="K38" s="2" t="s">
        <v>7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>
        <v>37</v>
      </c>
      <c r="R38" s="2">
        <v>353</v>
      </c>
      <c r="S38" s="2">
        <v>36.200000000000003</v>
      </c>
    </row>
    <row r="39" spans="1:19" x14ac:dyDescent="0.25">
      <c r="A39" s="3">
        <v>45798</v>
      </c>
      <c r="B39" s="2" t="s">
        <v>31</v>
      </c>
      <c r="C39" s="2" t="s">
        <v>20</v>
      </c>
      <c r="D39" s="2" t="s">
        <v>21</v>
      </c>
      <c r="E39" s="4">
        <v>7.3</v>
      </c>
      <c r="F39" s="4">
        <v>5</v>
      </c>
      <c r="G39" s="4">
        <v>3950</v>
      </c>
      <c r="H39" s="4">
        <f t="shared" si="0"/>
        <v>1.2658227848101266E-3</v>
      </c>
      <c r="I39" s="4">
        <v>3.5</v>
      </c>
      <c r="J39" s="4">
        <v>58.7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>
        <v>37.5</v>
      </c>
      <c r="R39" s="2">
        <v>294</v>
      </c>
      <c r="S39" s="2">
        <v>43.5</v>
      </c>
    </row>
    <row r="40" spans="1:19" x14ac:dyDescent="0.25">
      <c r="A40" s="3">
        <v>45798</v>
      </c>
      <c r="B40" s="2" t="s">
        <v>32</v>
      </c>
      <c r="C40" s="2" t="s">
        <v>20</v>
      </c>
      <c r="D40" s="2" t="s">
        <v>21</v>
      </c>
      <c r="E40" s="4">
        <v>7.3</v>
      </c>
      <c r="F40" s="4">
        <v>5</v>
      </c>
      <c r="G40" s="4">
        <v>3925</v>
      </c>
      <c r="H40" s="4">
        <f t="shared" si="0"/>
        <v>1.2738853503184713E-3</v>
      </c>
      <c r="I40" s="4">
        <v>2.9</v>
      </c>
      <c r="J40" s="4">
        <v>58.6</v>
      </c>
      <c r="K40" s="2" t="s">
        <v>7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>
        <v>37.4</v>
      </c>
      <c r="R40" s="2">
        <v>293</v>
      </c>
      <c r="S40" s="2">
        <v>43.6</v>
      </c>
    </row>
    <row r="41" spans="1:19" x14ac:dyDescent="0.25">
      <c r="A41" s="3">
        <v>45805</v>
      </c>
      <c r="B41" s="2" t="s">
        <v>30</v>
      </c>
      <c r="C41" s="2" t="s">
        <v>20</v>
      </c>
      <c r="D41" s="2" t="s">
        <v>21</v>
      </c>
      <c r="E41" s="4">
        <v>7.33</v>
      </c>
      <c r="F41" s="4">
        <v>31</v>
      </c>
      <c r="G41" s="4">
        <v>3899</v>
      </c>
      <c r="H41" s="4">
        <f t="shared" si="0"/>
        <v>7.9507566042575015E-3</v>
      </c>
      <c r="I41" s="4">
        <v>2.2999999999999998</v>
      </c>
      <c r="J41" s="4">
        <v>59.7</v>
      </c>
      <c r="K41" s="2" t="s">
        <v>7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>
        <v>25</v>
      </c>
      <c r="R41" s="2">
        <v>511</v>
      </c>
      <c r="S41" s="2">
        <v>36.5</v>
      </c>
    </row>
    <row r="42" spans="1:19" x14ac:dyDescent="0.25">
      <c r="A42" s="3">
        <v>45805</v>
      </c>
      <c r="B42" s="2" t="s">
        <v>31</v>
      </c>
      <c r="C42" s="2" t="s">
        <v>20</v>
      </c>
      <c r="D42" s="2" t="s">
        <v>21</v>
      </c>
      <c r="E42" s="4">
        <v>7.28</v>
      </c>
      <c r="F42" s="4">
        <v>11</v>
      </c>
      <c r="G42" s="4">
        <v>892</v>
      </c>
      <c r="H42" s="4">
        <f t="shared" si="0"/>
        <v>1.2331838565022421E-2</v>
      </c>
      <c r="I42" s="4">
        <v>2.2000000000000002</v>
      </c>
      <c r="J42" s="4">
        <v>60.1</v>
      </c>
      <c r="K42" s="2" t="s">
        <v>7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>
        <v>33.1</v>
      </c>
      <c r="R42" s="2">
        <v>386</v>
      </c>
      <c r="S42" s="2">
        <v>36.4</v>
      </c>
    </row>
    <row r="43" spans="1:19" x14ac:dyDescent="0.25">
      <c r="A43" s="3">
        <v>45805</v>
      </c>
      <c r="B43" s="2" t="s">
        <v>32</v>
      </c>
      <c r="C43" s="2" t="s">
        <v>20</v>
      </c>
      <c r="D43" s="2" t="s">
        <v>21</v>
      </c>
      <c r="E43" s="4">
        <v>7.32</v>
      </c>
      <c r="F43" s="4">
        <v>21</v>
      </c>
      <c r="G43" s="4">
        <v>3910</v>
      </c>
      <c r="H43" s="4">
        <f t="shared" si="0"/>
        <v>5.3708439897698209E-3</v>
      </c>
      <c r="I43" s="4">
        <v>2.6</v>
      </c>
      <c r="J43" s="4">
        <v>60</v>
      </c>
      <c r="K43" s="2" t="s">
        <v>7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>
        <v>31</v>
      </c>
      <c r="R43" s="2">
        <v>412</v>
      </c>
      <c r="S43" s="2">
        <v>36.6</v>
      </c>
    </row>
    <row r="44" spans="1:19" x14ac:dyDescent="0.25">
      <c r="A44" s="3">
        <v>45819</v>
      </c>
      <c r="B44" s="2" t="s">
        <v>30</v>
      </c>
      <c r="C44" s="2" t="s">
        <v>20</v>
      </c>
      <c r="D44" s="2" t="s">
        <v>21</v>
      </c>
      <c r="E44" s="4">
        <v>7.4</v>
      </c>
      <c r="F44" s="4">
        <v>13</v>
      </c>
      <c r="G44" s="4">
        <v>3942</v>
      </c>
      <c r="H44" s="4">
        <f t="shared" si="0"/>
        <v>3.2978183663115168E-3</v>
      </c>
      <c r="I44" s="4">
        <v>2.5</v>
      </c>
      <c r="J44" s="4">
        <v>60.9</v>
      </c>
      <c r="K44" s="2" t="s">
        <v>7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>
        <v>38.700000000000003</v>
      </c>
      <c r="R44" s="2">
        <v>179</v>
      </c>
      <c r="S44" s="2">
        <v>71.400000000000006</v>
      </c>
    </row>
    <row r="45" spans="1:19" x14ac:dyDescent="0.25">
      <c r="A45" s="3">
        <v>45819</v>
      </c>
      <c r="B45" s="2" t="s">
        <v>31</v>
      </c>
      <c r="C45" s="2" t="s">
        <v>20</v>
      </c>
      <c r="D45" s="2" t="s">
        <v>21</v>
      </c>
      <c r="E45" s="4">
        <v>7.35</v>
      </c>
      <c r="F45" s="4">
        <v>15</v>
      </c>
      <c r="G45" s="4">
        <v>4027</v>
      </c>
      <c r="H45" s="4">
        <f t="shared" si="0"/>
        <v>3.7248572138068041E-3</v>
      </c>
      <c r="I45" s="4">
        <v>2.2999999999999998</v>
      </c>
      <c r="J45" s="4">
        <v>61.1</v>
      </c>
      <c r="K45" s="2" t="s">
        <v>7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>
        <v>37.5</v>
      </c>
      <c r="R45" s="2">
        <v>150</v>
      </c>
      <c r="S45" s="2">
        <v>85.3</v>
      </c>
    </row>
    <row r="46" spans="1:19" x14ac:dyDescent="0.25">
      <c r="A46" s="3">
        <v>45819</v>
      </c>
      <c r="B46" s="2" t="s">
        <v>32</v>
      </c>
      <c r="C46" s="2" t="s">
        <v>20</v>
      </c>
      <c r="D46" s="2" t="s">
        <v>21</v>
      </c>
      <c r="E46" s="4">
        <v>7.34</v>
      </c>
      <c r="F46" s="4">
        <v>16</v>
      </c>
      <c r="G46" s="4">
        <v>4018</v>
      </c>
      <c r="H46" s="4">
        <f t="shared" si="0"/>
        <v>3.9820806371329018E-3</v>
      </c>
      <c r="I46" s="4">
        <v>2.4</v>
      </c>
      <c r="J46" s="4">
        <v>61.1</v>
      </c>
      <c r="K46" s="2" t="s">
        <v>7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>
        <v>37</v>
      </c>
      <c r="R46" s="2">
        <v>142</v>
      </c>
      <c r="S46" s="2">
        <v>90.1</v>
      </c>
    </row>
    <row r="47" spans="1:19" x14ac:dyDescent="0.25">
      <c r="A47" s="3">
        <v>45826</v>
      </c>
      <c r="B47" s="2" t="s">
        <v>30</v>
      </c>
      <c r="C47" s="2" t="s">
        <v>20</v>
      </c>
      <c r="D47" s="2" t="s">
        <v>21</v>
      </c>
      <c r="E47" s="4">
        <v>7.35</v>
      </c>
      <c r="F47" s="4" t="s">
        <v>7</v>
      </c>
      <c r="G47" s="4">
        <v>4161</v>
      </c>
      <c r="H47" s="4" t="s">
        <v>7</v>
      </c>
      <c r="I47" s="4">
        <v>2.5</v>
      </c>
      <c r="J47" s="4">
        <v>61.3</v>
      </c>
      <c r="K47" s="2" t="s">
        <v>7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5">
        <v>39.1</v>
      </c>
      <c r="R47" s="5">
        <v>15</v>
      </c>
      <c r="S47" s="5">
        <v>852.6</v>
      </c>
    </row>
    <row r="48" spans="1:19" x14ac:dyDescent="0.25">
      <c r="A48" s="3">
        <v>45826</v>
      </c>
      <c r="B48" s="2" t="s">
        <v>31</v>
      </c>
      <c r="C48" s="2" t="s">
        <v>20</v>
      </c>
      <c r="D48" s="2" t="s">
        <v>21</v>
      </c>
      <c r="E48" s="4">
        <v>7.32</v>
      </c>
      <c r="F48" s="4" t="s">
        <v>7</v>
      </c>
      <c r="G48" s="4">
        <v>4071</v>
      </c>
      <c r="H48" s="4" t="s">
        <v>7</v>
      </c>
      <c r="I48" s="4">
        <v>2.4</v>
      </c>
      <c r="J48" s="4">
        <v>61.5</v>
      </c>
      <c r="K48" s="2" t="s">
        <v>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5">
        <v>37.200000000000003</v>
      </c>
      <c r="R48" s="5">
        <v>15</v>
      </c>
      <c r="S48" s="5">
        <v>852.6</v>
      </c>
    </row>
    <row r="49" spans="1:19" x14ac:dyDescent="0.25">
      <c r="A49" s="3">
        <v>45826</v>
      </c>
      <c r="B49" s="2" t="s">
        <v>32</v>
      </c>
      <c r="C49" s="2" t="s">
        <v>20</v>
      </c>
      <c r="D49" s="2" t="s">
        <v>21</v>
      </c>
      <c r="E49" s="4">
        <v>7.34</v>
      </c>
      <c r="F49" s="4" t="s">
        <v>7</v>
      </c>
      <c r="G49" s="4">
        <v>4049</v>
      </c>
      <c r="H49" s="4" t="s">
        <v>7</v>
      </c>
      <c r="I49" s="4">
        <v>2.5</v>
      </c>
      <c r="J49" s="4">
        <v>61.6</v>
      </c>
      <c r="K49" s="2" t="s">
        <v>7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5">
        <v>36.5</v>
      </c>
      <c r="R49" s="5">
        <v>15</v>
      </c>
      <c r="S49" s="5">
        <v>852.6</v>
      </c>
    </row>
    <row r="50" spans="1:19" x14ac:dyDescent="0.25">
      <c r="A50" s="3">
        <v>45833</v>
      </c>
      <c r="B50" s="2" t="s">
        <v>30</v>
      </c>
      <c r="C50" s="2" t="s">
        <v>20</v>
      </c>
      <c r="D50" s="2" t="s">
        <v>21</v>
      </c>
      <c r="E50" s="4">
        <v>7.85</v>
      </c>
      <c r="F50" s="4">
        <v>4</v>
      </c>
      <c r="G50" s="4">
        <v>4316</v>
      </c>
      <c r="H50" s="4">
        <f t="shared" si="0"/>
        <v>9.2678405931417981E-4</v>
      </c>
      <c r="I50" s="4">
        <v>2.5</v>
      </c>
      <c r="J50" s="4">
        <v>61.1</v>
      </c>
      <c r="K50" s="2" t="s">
        <v>7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>
        <v>38.299999999999997</v>
      </c>
      <c r="R50" s="2">
        <v>275</v>
      </c>
      <c r="S50" s="2">
        <v>46.5</v>
      </c>
    </row>
    <row r="51" spans="1:19" x14ac:dyDescent="0.25">
      <c r="A51" s="3">
        <v>45833</v>
      </c>
      <c r="B51" s="2" t="s">
        <v>31</v>
      </c>
      <c r="C51" s="2" t="s">
        <v>20</v>
      </c>
      <c r="D51" s="2" t="s">
        <v>21</v>
      </c>
      <c r="E51" s="4">
        <v>7.86</v>
      </c>
      <c r="F51" s="4">
        <v>3</v>
      </c>
      <c r="G51" s="4">
        <v>4236</v>
      </c>
      <c r="H51" s="4">
        <f t="shared" si="0"/>
        <v>7.0821529745042496E-4</v>
      </c>
      <c r="I51" s="4">
        <v>2.4</v>
      </c>
      <c r="J51" s="4">
        <v>61.7</v>
      </c>
      <c r="K51" s="2" t="s">
        <v>7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>
        <v>37.299999999999997</v>
      </c>
      <c r="R51" s="2">
        <v>281</v>
      </c>
      <c r="S51" s="2">
        <v>45.5</v>
      </c>
    </row>
    <row r="52" spans="1:19" x14ac:dyDescent="0.25">
      <c r="A52" s="3">
        <v>45833</v>
      </c>
      <c r="B52" s="2" t="s">
        <v>32</v>
      </c>
      <c r="C52" s="2" t="s">
        <v>20</v>
      </c>
      <c r="D52" s="2" t="s">
        <v>21</v>
      </c>
      <c r="E52" s="4">
        <v>7.87</v>
      </c>
      <c r="F52" s="4">
        <v>3</v>
      </c>
      <c r="G52" s="4">
        <v>4173</v>
      </c>
      <c r="H52" s="4">
        <f t="shared" si="0"/>
        <v>7.1890726096333576E-4</v>
      </c>
      <c r="I52" s="4">
        <v>2.5</v>
      </c>
      <c r="J52" s="4">
        <v>61.5</v>
      </c>
      <c r="K52" s="2" t="s">
        <v>7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>
        <v>37</v>
      </c>
      <c r="R52" s="2">
        <v>274</v>
      </c>
      <c r="S52" s="2">
        <v>46.7</v>
      </c>
    </row>
    <row r="53" spans="1:19" x14ac:dyDescent="0.25">
      <c r="A53" s="3">
        <v>45840</v>
      </c>
      <c r="B53" s="2" t="s">
        <v>30</v>
      </c>
      <c r="C53" s="2" t="s">
        <v>20</v>
      </c>
      <c r="D53" s="2" t="s">
        <v>21</v>
      </c>
      <c r="E53" s="4">
        <v>7.3</v>
      </c>
      <c r="F53" s="4">
        <v>4</v>
      </c>
      <c r="G53" s="4">
        <v>3954</v>
      </c>
      <c r="H53" s="4">
        <f t="shared" si="0"/>
        <v>1.0116337885685382E-3</v>
      </c>
      <c r="I53" s="4">
        <v>2.5</v>
      </c>
      <c r="J53" s="4">
        <v>60.9</v>
      </c>
      <c r="K53" s="2" t="s">
        <v>7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>
        <v>39.5</v>
      </c>
      <c r="R53" s="2">
        <v>495</v>
      </c>
      <c r="S53" s="2">
        <v>25.8</v>
      </c>
    </row>
    <row r="54" spans="1:19" x14ac:dyDescent="0.25">
      <c r="A54" s="3">
        <v>45840</v>
      </c>
      <c r="B54" s="2" t="s">
        <v>31</v>
      </c>
      <c r="C54" s="2" t="s">
        <v>20</v>
      </c>
      <c r="D54" s="2" t="s">
        <v>21</v>
      </c>
      <c r="E54" s="4">
        <v>7.3</v>
      </c>
      <c r="F54" s="4">
        <v>3</v>
      </c>
      <c r="G54" s="4">
        <v>3881</v>
      </c>
      <c r="H54" s="4">
        <f t="shared" si="0"/>
        <v>7.7299665034784846E-4</v>
      </c>
      <c r="I54" s="4">
        <v>2.4</v>
      </c>
      <c r="J54" s="4">
        <v>61.2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>
        <v>36.5</v>
      </c>
      <c r="R54" s="2">
        <v>528</v>
      </c>
      <c r="S54" s="2">
        <v>24.2</v>
      </c>
    </row>
    <row r="55" spans="1:19" x14ac:dyDescent="0.25">
      <c r="A55" s="3">
        <v>45840</v>
      </c>
      <c r="B55" s="2" t="s">
        <v>32</v>
      </c>
      <c r="C55" s="2" t="s">
        <v>20</v>
      </c>
      <c r="D55" s="2" t="s">
        <v>21</v>
      </c>
      <c r="E55" s="4">
        <v>7.3</v>
      </c>
      <c r="F55" s="4">
        <v>3</v>
      </c>
      <c r="G55" s="4">
        <v>3776</v>
      </c>
      <c r="H55" s="4">
        <f t="shared" si="0"/>
        <v>7.9449152542372887E-4</v>
      </c>
      <c r="I55" s="4">
        <v>2.5</v>
      </c>
      <c r="J55" s="4">
        <v>61.3</v>
      </c>
      <c r="K55" s="2" t="s">
        <v>7</v>
      </c>
      <c r="L55" s="2" t="s">
        <v>7</v>
      </c>
      <c r="M55" s="2" t="s">
        <v>7</v>
      </c>
      <c r="N55" s="2" t="s">
        <v>7</v>
      </c>
      <c r="O55" s="2" t="s">
        <v>7</v>
      </c>
      <c r="P55" s="2" t="s">
        <v>7</v>
      </c>
      <c r="Q55" s="2">
        <v>37.299999999999997</v>
      </c>
      <c r="R55" s="2">
        <v>575</v>
      </c>
      <c r="S55" s="2">
        <v>22.2</v>
      </c>
    </row>
    <row r="56" spans="1:19" x14ac:dyDescent="0.25">
      <c r="A56" s="3">
        <v>45840</v>
      </c>
      <c r="B56" s="2" t="s">
        <v>33</v>
      </c>
      <c r="C56" s="2" t="s">
        <v>20</v>
      </c>
      <c r="D56" s="2" t="s">
        <v>21</v>
      </c>
      <c r="E56" s="4">
        <v>7.4</v>
      </c>
      <c r="F56" s="4">
        <v>10</v>
      </c>
      <c r="G56" s="4">
        <v>3800</v>
      </c>
      <c r="H56" s="4">
        <f t="shared" si="0"/>
        <v>2.631578947368421E-3</v>
      </c>
      <c r="I56" s="4">
        <v>2.4</v>
      </c>
      <c r="J56" s="4">
        <v>60.2</v>
      </c>
      <c r="K56" s="2" t="s">
        <v>7</v>
      </c>
      <c r="L56" s="2" t="s">
        <v>7</v>
      </c>
      <c r="M56" s="2" t="s">
        <v>7</v>
      </c>
      <c r="N56" s="2" t="s">
        <v>7</v>
      </c>
      <c r="O56" s="2" t="s">
        <v>7</v>
      </c>
      <c r="P56" s="2" t="s">
        <v>7</v>
      </c>
      <c r="Q56" s="2">
        <v>37.1</v>
      </c>
      <c r="R56" s="2">
        <v>497</v>
      </c>
      <c r="S56" s="2">
        <v>25.7</v>
      </c>
    </row>
    <row r="57" spans="1:19" x14ac:dyDescent="0.25">
      <c r="A57" s="3">
        <v>45840</v>
      </c>
      <c r="B57" s="2" t="s">
        <v>34</v>
      </c>
      <c r="C57" s="2" t="s">
        <v>20</v>
      </c>
      <c r="D57" s="2" t="s">
        <v>21</v>
      </c>
      <c r="E57" s="4">
        <v>7.5</v>
      </c>
      <c r="F57" s="4" t="s">
        <v>7</v>
      </c>
      <c r="G57" s="4" t="s">
        <v>7</v>
      </c>
      <c r="H57" s="4" t="s">
        <v>7</v>
      </c>
      <c r="I57" s="4">
        <v>2.5</v>
      </c>
      <c r="J57" s="4">
        <v>59.3</v>
      </c>
      <c r="K57" s="2" t="s">
        <v>7</v>
      </c>
      <c r="L57" s="2" t="s">
        <v>7</v>
      </c>
      <c r="M57" s="2" t="s">
        <v>7</v>
      </c>
      <c r="N57" s="2" t="s">
        <v>7</v>
      </c>
      <c r="O57" s="2" t="s">
        <v>7</v>
      </c>
      <c r="P57" s="2" t="s">
        <v>7</v>
      </c>
      <c r="Q57" s="2" t="s">
        <v>7</v>
      </c>
      <c r="R57" s="2" t="s">
        <v>7</v>
      </c>
      <c r="S57" s="2" t="s">
        <v>7</v>
      </c>
    </row>
    <row r="58" spans="1:19" x14ac:dyDescent="0.25">
      <c r="A58" s="3">
        <v>45847</v>
      </c>
      <c r="B58" s="2" t="s">
        <v>30</v>
      </c>
      <c r="C58" s="2" t="s">
        <v>20</v>
      </c>
      <c r="D58" s="2" t="s">
        <v>21</v>
      </c>
      <c r="E58" s="4">
        <v>7.32</v>
      </c>
      <c r="F58" s="4">
        <v>7</v>
      </c>
      <c r="G58" s="4">
        <v>4049</v>
      </c>
      <c r="H58" s="4">
        <f t="shared" si="0"/>
        <v>1.7288219313410719E-3</v>
      </c>
      <c r="I58" s="4">
        <v>2.2999999999999998</v>
      </c>
      <c r="J58" s="4">
        <v>59.9</v>
      </c>
      <c r="K58" s="2" t="s">
        <v>7</v>
      </c>
      <c r="L58" s="2" t="s">
        <v>7</v>
      </c>
      <c r="M58" s="2" t="s">
        <v>7</v>
      </c>
      <c r="N58" s="2" t="s">
        <v>7</v>
      </c>
      <c r="O58" s="2" t="s">
        <v>7</v>
      </c>
      <c r="P58" s="2" t="s">
        <v>7</v>
      </c>
      <c r="Q58" s="2">
        <v>38.299999999999997</v>
      </c>
      <c r="R58" s="2">
        <v>17</v>
      </c>
      <c r="S58" s="2">
        <v>752</v>
      </c>
    </row>
    <row r="59" spans="1:19" x14ac:dyDescent="0.25">
      <c r="A59" s="3">
        <v>45847</v>
      </c>
      <c r="B59" s="2" t="s">
        <v>31</v>
      </c>
      <c r="C59" s="2" t="s">
        <v>20</v>
      </c>
      <c r="D59" s="2" t="s">
        <v>21</v>
      </c>
      <c r="E59" s="4">
        <v>7.23</v>
      </c>
      <c r="F59" s="4">
        <v>3</v>
      </c>
      <c r="G59" s="4">
        <v>3906</v>
      </c>
      <c r="H59" s="4">
        <f t="shared" si="0"/>
        <v>7.6804915514592934E-4</v>
      </c>
      <c r="I59" s="4">
        <v>2.2999999999999998</v>
      </c>
      <c r="J59" s="4">
        <v>60.4</v>
      </c>
      <c r="K59" s="2" t="s">
        <v>7</v>
      </c>
      <c r="L59" s="2" t="s">
        <v>7</v>
      </c>
      <c r="M59" s="2" t="s">
        <v>7</v>
      </c>
      <c r="N59" s="2" t="s">
        <v>7</v>
      </c>
      <c r="O59" s="2" t="s">
        <v>7</v>
      </c>
      <c r="P59" s="2" t="s">
        <v>7</v>
      </c>
      <c r="Q59" s="2">
        <v>37.4</v>
      </c>
      <c r="R59" s="2">
        <v>19</v>
      </c>
      <c r="S59" s="2">
        <v>673</v>
      </c>
    </row>
    <row r="60" spans="1:19" x14ac:dyDescent="0.25">
      <c r="A60" s="3">
        <v>45847</v>
      </c>
      <c r="B60" s="2" t="s">
        <v>32</v>
      </c>
      <c r="C60" s="2" t="s">
        <v>20</v>
      </c>
      <c r="D60" s="2" t="s">
        <v>21</v>
      </c>
      <c r="E60" s="4">
        <v>7.26</v>
      </c>
      <c r="F60" s="4">
        <v>3</v>
      </c>
      <c r="G60" s="4">
        <v>3851</v>
      </c>
      <c r="H60" s="4">
        <f t="shared" si="0"/>
        <v>7.7901843676967026E-4</v>
      </c>
      <c r="I60" s="4">
        <v>2.4</v>
      </c>
      <c r="J60" s="4">
        <v>60.6</v>
      </c>
      <c r="K60" s="2" t="s">
        <v>7</v>
      </c>
      <c r="L60" s="2" t="s">
        <v>7</v>
      </c>
      <c r="M60" s="2" t="s">
        <v>7</v>
      </c>
      <c r="N60" s="2" t="s">
        <v>7</v>
      </c>
      <c r="O60" s="2" t="s">
        <v>7</v>
      </c>
      <c r="P60" s="2" t="s">
        <v>7</v>
      </c>
      <c r="Q60" s="2">
        <v>37.200000000000003</v>
      </c>
      <c r="R60" s="2">
        <v>18</v>
      </c>
      <c r="S60" s="2">
        <v>710</v>
      </c>
    </row>
    <row r="61" spans="1:19" x14ac:dyDescent="0.25">
      <c r="A61" s="3">
        <v>45847</v>
      </c>
      <c r="B61" s="2" t="s">
        <v>33</v>
      </c>
      <c r="C61" s="2" t="s">
        <v>20</v>
      </c>
      <c r="D61" s="2" t="s">
        <v>21</v>
      </c>
      <c r="E61" s="4">
        <v>7.41</v>
      </c>
      <c r="F61" s="4">
        <v>10</v>
      </c>
      <c r="G61" s="4">
        <v>3915</v>
      </c>
      <c r="H61" s="4">
        <f t="shared" si="0"/>
        <v>2.554278416347382E-3</v>
      </c>
      <c r="I61" s="4">
        <v>2.2999999999999998</v>
      </c>
      <c r="J61" s="4">
        <v>60.2</v>
      </c>
      <c r="K61" s="2" t="s">
        <v>7</v>
      </c>
      <c r="L61" s="2" t="s">
        <v>7</v>
      </c>
      <c r="M61" s="2" t="s">
        <v>7</v>
      </c>
      <c r="N61" s="2" t="s">
        <v>7</v>
      </c>
      <c r="O61" s="2" t="s">
        <v>7</v>
      </c>
      <c r="P61" s="2" t="s">
        <v>7</v>
      </c>
      <c r="Q61" s="2">
        <v>37.799999999999997</v>
      </c>
      <c r="R61" s="2">
        <v>16</v>
      </c>
      <c r="S61" s="2">
        <v>799</v>
      </c>
    </row>
    <row r="62" spans="1:19" x14ac:dyDescent="0.25">
      <c r="A62" s="3">
        <v>45847</v>
      </c>
      <c r="B62" s="2" t="s">
        <v>34</v>
      </c>
      <c r="C62" s="2" t="s">
        <v>20</v>
      </c>
      <c r="D62" s="2" t="s">
        <v>21</v>
      </c>
      <c r="E62" s="4">
        <v>7.48</v>
      </c>
      <c r="F62" s="4" t="s">
        <v>7</v>
      </c>
      <c r="G62" s="4" t="s">
        <v>7</v>
      </c>
      <c r="H62" s="4" t="s">
        <v>7</v>
      </c>
      <c r="I62" s="4">
        <v>2.2999999999999998</v>
      </c>
      <c r="J62" s="4">
        <v>56.1</v>
      </c>
      <c r="K62" s="2" t="s">
        <v>7</v>
      </c>
      <c r="L62" s="2" t="s">
        <v>7</v>
      </c>
      <c r="M62" s="2" t="s">
        <v>7</v>
      </c>
      <c r="N62" s="2" t="s">
        <v>7</v>
      </c>
      <c r="O62" s="2" t="s">
        <v>7</v>
      </c>
      <c r="P62" s="2" t="s">
        <v>7</v>
      </c>
      <c r="Q62" s="2" t="s">
        <v>7</v>
      </c>
      <c r="R62" s="2" t="s">
        <v>7</v>
      </c>
      <c r="S62" s="2" t="s">
        <v>7</v>
      </c>
    </row>
    <row r="63" spans="1:19" x14ac:dyDescent="0.25">
      <c r="A63" s="3">
        <v>45854</v>
      </c>
      <c r="B63" s="2" t="s">
        <v>30</v>
      </c>
      <c r="C63" s="2" t="s">
        <v>20</v>
      </c>
      <c r="D63" s="2" t="s">
        <v>21</v>
      </c>
      <c r="E63" s="4">
        <v>7.4</v>
      </c>
      <c r="F63" s="4">
        <v>5</v>
      </c>
      <c r="G63" s="4">
        <v>4328</v>
      </c>
      <c r="H63" s="4">
        <f t="shared" si="0"/>
        <v>1.1552680221811461E-3</v>
      </c>
      <c r="I63" s="4">
        <v>2.2999999999999998</v>
      </c>
      <c r="J63" s="4">
        <v>60.5</v>
      </c>
      <c r="K63" s="2" t="s">
        <v>7</v>
      </c>
      <c r="L63" s="2" t="s">
        <v>7</v>
      </c>
      <c r="M63" s="2" t="s">
        <v>7</v>
      </c>
      <c r="N63" s="2" t="s">
        <v>7</v>
      </c>
      <c r="O63" s="2" t="s">
        <v>7</v>
      </c>
      <c r="P63" s="2" t="s">
        <v>7</v>
      </c>
      <c r="Q63" s="2">
        <v>40.6</v>
      </c>
      <c r="R63" s="2">
        <v>150</v>
      </c>
      <c r="S63" s="2">
        <v>85.3</v>
      </c>
    </row>
    <row r="64" spans="1:19" x14ac:dyDescent="0.25">
      <c r="A64" s="3">
        <v>45854</v>
      </c>
      <c r="B64" s="2" t="s">
        <v>31</v>
      </c>
      <c r="C64" s="2" t="s">
        <v>20</v>
      </c>
      <c r="D64" s="2" t="s">
        <v>21</v>
      </c>
      <c r="E64" s="4">
        <v>7.34</v>
      </c>
      <c r="F64" s="4">
        <v>3</v>
      </c>
      <c r="G64" s="4">
        <v>4203</v>
      </c>
      <c r="H64" s="4">
        <f t="shared" si="0"/>
        <v>7.1377587437544611E-4</v>
      </c>
      <c r="I64" s="4">
        <v>2.2999999999999998</v>
      </c>
      <c r="J64" s="4">
        <v>60.9</v>
      </c>
      <c r="K64" s="2" t="s">
        <v>7</v>
      </c>
      <c r="L64" s="2" t="s">
        <v>7</v>
      </c>
      <c r="M64" s="2" t="s">
        <v>7</v>
      </c>
      <c r="N64" s="2" t="s">
        <v>7</v>
      </c>
      <c r="O64" s="2" t="s">
        <v>7</v>
      </c>
      <c r="P64" s="2" t="s">
        <v>7</v>
      </c>
      <c r="Q64" s="2">
        <v>37.799999999999997</v>
      </c>
      <c r="R64" s="2">
        <v>107</v>
      </c>
      <c r="S64" s="2">
        <v>119.5</v>
      </c>
    </row>
    <row r="65" spans="1:19" x14ac:dyDescent="0.25">
      <c r="A65" s="3">
        <v>45854</v>
      </c>
      <c r="B65" s="2" t="s">
        <v>32</v>
      </c>
      <c r="C65" s="2" t="s">
        <v>20</v>
      </c>
      <c r="D65" s="2" t="s">
        <v>21</v>
      </c>
      <c r="E65" s="4">
        <v>7.36</v>
      </c>
      <c r="F65" s="4">
        <v>4</v>
      </c>
      <c r="G65" s="4">
        <v>4181</v>
      </c>
      <c r="H65" s="4">
        <f t="shared" si="0"/>
        <v>9.5670892131069127E-4</v>
      </c>
      <c r="I65" s="4">
        <v>2.4</v>
      </c>
      <c r="J65" s="4">
        <v>61.1</v>
      </c>
      <c r="K65" s="2" t="s">
        <v>7</v>
      </c>
      <c r="L65" s="2" t="s">
        <v>7</v>
      </c>
      <c r="M65" s="2" t="s">
        <v>7</v>
      </c>
      <c r="N65" s="2" t="s">
        <v>7</v>
      </c>
      <c r="O65" s="2" t="s">
        <v>7</v>
      </c>
      <c r="P65" s="2" t="s">
        <v>7</v>
      </c>
      <c r="Q65" s="2">
        <v>37.5</v>
      </c>
      <c r="R65" s="2">
        <v>131</v>
      </c>
      <c r="S65" s="2">
        <v>97.6</v>
      </c>
    </row>
    <row r="66" spans="1:19" x14ac:dyDescent="0.25">
      <c r="A66" s="3">
        <v>45854</v>
      </c>
      <c r="B66" s="2" t="s">
        <v>33</v>
      </c>
      <c r="C66" s="2" t="s">
        <v>20</v>
      </c>
      <c r="D66" s="2" t="s">
        <v>21</v>
      </c>
      <c r="E66" s="4" t="s">
        <v>7</v>
      </c>
      <c r="F66" s="4">
        <v>4</v>
      </c>
      <c r="G66" s="4">
        <v>4209</v>
      </c>
      <c r="H66" s="4">
        <f t="shared" si="0"/>
        <v>9.5034449988120695E-4</v>
      </c>
      <c r="I66" s="4">
        <v>2.2999999999999998</v>
      </c>
      <c r="J66" s="4">
        <v>61.2</v>
      </c>
      <c r="K66" s="2" t="s">
        <v>7</v>
      </c>
      <c r="L66" s="2" t="s">
        <v>7</v>
      </c>
      <c r="M66" s="2" t="s">
        <v>7</v>
      </c>
      <c r="N66" s="2" t="s">
        <v>7</v>
      </c>
      <c r="O66" s="2" t="s">
        <v>7</v>
      </c>
      <c r="P66" s="2" t="s">
        <v>7</v>
      </c>
      <c r="Q66" s="2">
        <v>37.200000000000003</v>
      </c>
      <c r="R66" s="2">
        <v>133</v>
      </c>
      <c r="S66" s="2">
        <v>96.2</v>
      </c>
    </row>
    <row r="67" spans="1:19" x14ac:dyDescent="0.25">
      <c r="A67" s="3">
        <v>45854</v>
      </c>
      <c r="B67" s="2" t="s">
        <v>34</v>
      </c>
      <c r="C67" s="2" t="s">
        <v>20</v>
      </c>
      <c r="D67" s="2" t="s">
        <v>21</v>
      </c>
      <c r="E67" s="4">
        <v>7.5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  <c r="K67" s="2" t="s">
        <v>7</v>
      </c>
      <c r="L67" s="2" t="s">
        <v>7</v>
      </c>
      <c r="M67" s="2" t="s">
        <v>7</v>
      </c>
      <c r="N67" s="2" t="s">
        <v>7</v>
      </c>
      <c r="O67" s="2" t="s">
        <v>7</v>
      </c>
      <c r="P67" s="2" t="s">
        <v>7</v>
      </c>
      <c r="Q67" s="2" t="s">
        <v>7</v>
      </c>
      <c r="R67" s="2" t="s">
        <v>7</v>
      </c>
      <c r="S67" s="2" t="s">
        <v>7</v>
      </c>
    </row>
    <row r="68" spans="1:19" x14ac:dyDescent="0.25">
      <c r="A68" s="3">
        <v>45861</v>
      </c>
      <c r="B68" s="2" t="s">
        <v>30</v>
      </c>
      <c r="C68" s="2" t="s">
        <v>20</v>
      </c>
      <c r="D68" s="2" t="s">
        <v>21</v>
      </c>
      <c r="E68" s="4">
        <v>7.48</v>
      </c>
      <c r="F68" s="4">
        <v>6</v>
      </c>
      <c r="G68" s="4">
        <v>4109</v>
      </c>
      <c r="H68" s="4">
        <f t="shared" ref="H67:H92" si="1">F68/G68</f>
        <v>1.4602092966658554E-3</v>
      </c>
      <c r="I68" s="4">
        <v>2.2999999999999998</v>
      </c>
      <c r="J68" s="4">
        <v>58.8</v>
      </c>
      <c r="K68" s="2" t="s">
        <v>7</v>
      </c>
      <c r="L68" s="2" t="s">
        <v>7</v>
      </c>
      <c r="M68" s="2" t="s">
        <v>7</v>
      </c>
      <c r="N68" s="2" t="s">
        <v>7</v>
      </c>
      <c r="O68" s="2" t="s">
        <v>7</v>
      </c>
      <c r="P68" s="2" t="s">
        <v>7</v>
      </c>
      <c r="Q68" s="2">
        <v>42.1</v>
      </c>
      <c r="R68" s="2">
        <v>151</v>
      </c>
      <c r="S68" s="2">
        <v>84.7</v>
      </c>
    </row>
    <row r="69" spans="1:19" x14ac:dyDescent="0.25">
      <c r="A69" s="3">
        <v>45861</v>
      </c>
      <c r="B69" s="2" t="s">
        <v>31</v>
      </c>
      <c r="C69" s="2" t="s">
        <v>20</v>
      </c>
      <c r="D69" s="2" t="s">
        <v>21</v>
      </c>
      <c r="E69" s="4">
        <v>7.36</v>
      </c>
      <c r="F69" s="4">
        <v>4</v>
      </c>
      <c r="G69" s="4">
        <v>3978</v>
      </c>
      <c r="H69" s="4">
        <f t="shared" si="1"/>
        <v>1.0055304172951231E-3</v>
      </c>
      <c r="I69" s="4">
        <v>2.2000000000000002</v>
      </c>
      <c r="J69" s="4">
        <v>58.6</v>
      </c>
      <c r="K69" s="2" t="s">
        <v>7</v>
      </c>
      <c r="L69" s="2" t="s">
        <v>7</v>
      </c>
      <c r="M69" s="2" t="s">
        <v>7</v>
      </c>
      <c r="N69" s="2" t="s">
        <v>7</v>
      </c>
      <c r="O69" s="2" t="s">
        <v>7</v>
      </c>
      <c r="P69" s="2" t="s">
        <v>7</v>
      </c>
      <c r="Q69" s="2">
        <v>37.200000000000003</v>
      </c>
      <c r="R69" s="2">
        <v>100</v>
      </c>
      <c r="S69" s="2">
        <v>127.9</v>
      </c>
    </row>
    <row r="70" spans="1:19" x14ac:dyDescent="0.25">
      <c r="A70" s="3">
        <v>45861</v>
      </c>
      <c r="B70" s="2" t="s">
        <v>32</v>
      </c>
      <c r="C70" s="2" t="s">
        <v>20</v>
      </c>
      <c r="D70" s="2" t="s">
        <v>21</v>
      </c>
      <c r="E70" s="4">
        <v>7.32</v>
      </c>
      <c r="F70" s="4">
        <v>3</v>
      </c>
      <c r="G70" s="4">
        <v>3938</v>
      </c>
      <c r="H70" s="4">
        <f t="shared" si="1"/>
        <v>7.6180802437785682E-4</v>
      </c>
      <c r="I70" s="4">
        <v>2.2000000000000002</v>
      </c>
      <c r="J70" s="4">
        <v>59.6</v>
      </c>
      <c r="K70" s="2" t="s">
        <v>7</v>
      </c>
      <c r="L70" s="2" t="s">
        <v>7</v>
      </c>
      <c r="M70" s="2" t="s">
        <v>7</v>
      </c>
      <c r="N70" s="2" t="s">
        <v>7</v>
      </c>
      <c r="O70" s="2" t="s">
        <v>7</v>
      </c>
      <c r="P70" s="2" t="s">
        <v>7</v>
      </c>
      <c r="Q70" s="2">
        <v>36.799999999999997</v>
      </c>
      <c r="R70" s="2">
        <v>111</v>
      </c>
      <c r="S70" s="2">
        <v>115.2</v>
      </c>
    </row>
    <row r="71" spans="1:19" x14ac:dyDescent="0.25">
      <c r="A71" s="3">
        <v>45861</v>
      </c>
      <c r="B71" s="2" t="s">
        <v>33</v>
      </c>
      <c r="C71" s="2" t="s">
        <v>20</v>
      </c>
      <c r="D71" s="2" t="s">
        <v>21</v>
      </c>
      <c r="E71" s="4">
        <v>7.48</v>
      </c>
      <c r="F71" s="4">
        <v>9</v>
      </c>
      <c r="G71" s="4">
        <v>3259</v>
      </c>
      <c r="H71" s="4">
        <f t="shared" si="1"/>
        <v>2.7615833077631177E-3</v>
      </c>
      <c r="I71" s="4">
        <v>2.2000000000000002</v>
      </c>
      <c r="J71" s="4">
        <v>59</v>
      </c>
      <c r="K71" s="2" t="s">
        <v>7</v>
      </c>
      <c r="L71" s="2" t="s">
        <v>7</v>
      </c>
      <c r="M71" s="2" t="s">
        <v>7</v>
      </c>
      <c r="N71" s="2" t="s">
        <v>7</v>
      </c>
      <c r="O71" s="2" t="s">
        <v>7</v>
      </c>
      <c r="P71" s="2" t="s">
        <v>7</v>
      </c>
      <c r="Q71" s="2">
        <v>36.9</v>
      </c>
      <c r="R71" s="2">
        <v>108</v>
      </c>
      <c r="S71" s="2">
        <v>118.4</v>
      </c>
    </row>
    <row r="72" spans="1:19" x14ac:dyDescent="0.25">
      <c r="A72" s="3">
        <v>45861</v>
      </c>
      <c r="B72" s="2" t="s">
        <v>34</v>
      </c>
      <c r="C72" s="2" t="s">
        <v>20</v>
      </c>
      <c r="D72" s="2" t="s">
        <v>21</v>
      </c>
      <c r="E72" s="4">
        <v>7.5</v>
      </c>
      <c r="F72" s="4" t="s">
        <v>7</v>
      </c>
      <c r="G72" s="4" t="s">
        <v>7</v>
      </c>
      <c r="H72" s="4" t="s">
        <v>7</v>
      </c>
      <c r="I72" s="4">
        <v>2.9</v>
      </c>
      <c r="J72" s="4">
        <v>58.7</v>
      </c>
      <c r="K72" s="2" t="s">
        <v>7</v>
      </c>
      <c r="L72" s="2" t="s">
        <v>7</v>
      </c>
      <c r="M72" s="2" t="s">
        <v>7</v>
      </c>
      <c r="N72" s="2" t="s">
        <v>7</v>
      </c>
      <c r="O72" s="2" t="s">
        <v>7</v>
      </c>
      <c r="P72" s="2" t="s">
        <v>7</v>
      </c>
      <c r="Q72" s="2" t="s">
        <v>7</v>
      </c>
      <c r="R72" s="2" t="s">
        <v>7</v>
      </c>
      <c r="S72" s="2" t="s">
        <v>7</v>
      </c>
    </row>
    <row r="73" spans="1:19" x14ac:dyDescent="0.25">
      <c r="A73" s="3">
        <v>45869</v>
      </c>
      <c r="B73" s="2" t="s">
        <v>30</v>
      </c>
      <c r="C73" s="2" t="s">
        <v>20</v>
      </c>
      <c r="D73" s="2" t="s">
        <v>21</v>
      </c>
      <c r="E73" s="4">
        <v>7.52</v>
      </c>
      <c r="F73" s="4">
        <v>16</v>
      </c>
      <c r="G73" s="4">
        <v>4339</v>
      </c>
      <c r="H73" s="4">
        <f t="shared" si="1"/>
        <v>3.6874855957593914E-3</v>
      </c>
      <c r="I73" s="4">
        <v>2.2999999999999998</v>
      </c>
      <c r="J73" s="4">
        <v>59.7</v>
      </c>
      <c r="K73" s="2" t="s">
        <v>7</v>
      </c>
      <c r="L73" s="2" t="s">
        <v>7</v>
      </c>
      <c r="M73" s="2" t="s">
        <v>7</v>
      </c>
      <c r="N73" s="2" t="s">
        <v>7</v>
      </c>
      <c r="O73" s="2" t="s">
        <v>7</v>
      </c>
      <c r="P73" s="2" t="s">
        <v>7</v>
      </c>
      <c r="Q73" s="2">
        <v>43.4</v>
      </c>
      <c r="R73" s="2" t="s">
        <v>7</v>
      </c>
      <c r="S73" s="2" t="s">
        <v>7</v>
      </c>
    </row>
    <row r="74" spans="1:19" x14ac:dyDescent="0.25">
      <c r="A74" s="3">
        <v>45869</v>
      </c>
      <c r="B74" s="2" t="s">
        <v>31</v>
      </c>
      <c r="C74" s="2" t="s">
        <v>20</v>
      </c>
      <c r="D74" s="2" t="s">
        <v>21</v>
      </c>
      <c r="E74" s="4">
        <v>7.35</v>
      </c>
      <c r="F74" s="4">
        <v>4</v>
      </c>
      <c r="G74" s="4">
        <v>4207</v>
      </c>
      <c r="H74" s="4">
        <f t="shared" si="1"/>
        <v>9.5079629189446157E-4</v>
      </c>
      <c r="I74" s="4">
        <v>2.2999999999999998</v>
      </c>
      <c r="J74" s="4">
        <v>60.2</v>
      </c>
      <c r="K74" s="2" t="s">
        <v>7</v>
      </c>
      <c r="L74" s="2" t="s">
        <v>7</v>
      </c>
      <c r="M74" s="2" t="s">
        <v>7</v>
      </c>
      <c r="N74" s="2" t="s">
        <v>7</v>
      </c>
      <c r="O74" s="2" t="s">
        <v>7</v>
      </c>
      <c r="P74" s="2" t="s">
        <v>7</v>
      </c>
      <c r="Q74" s="2">
        <v>37.1</v>
      </c>
      <c r="R74" s="2" t="s">
        <v>7</v>
      </c>
      <c r="S74" s="2" t="s">
        <v>7</v>
      </c>
    </row>
    <row r="75" spans="1:19" x14ac:dyDescent="0.25">
      <c r="A75" s="3">
        <v>45869</v>
      </c>
      <c r="B75" s="2" t="s">
        <v>32</v>
      </c>
      <c r="C75" s="2" t="s">
        <v>20</v>
      </c>
      <c r="D75" s="2" t="s">
        <v>21</v>
      </c>
      <c r="E75" s="4">
        <v>7.33</v>
      </c>
      <c r="F75" s="4">
        <v>4</v>
      </c>
      <c r="G75" s="4">
        <v>4108</v>
      </c>
      <c r="H75" s="4">
        <f t="shared" si="1"/>
        <v>9.7370983446932818E-4</v>
      </c>
      <c r="I75" s="4">
        <v>2.2999999999999998</v>
      </c>
      <c r="J75" s="4">
        <v>60.2</v>
      </c>
      <c r="K75" s="2" t="s">
        <v>7</v>
      </c>
      <c r="L75" s="2" t="s">
        <v>7</v>
      </c>
      <c r="M75" s="2" t="s">
        <v>7</v>
      </c>
      <c r="N75" s="2" t="s">
        <v>7</v>
      </c>
      <c r="O75" s="2" t="s">
        <v>7</v>
      </c>
      <c r="P75" s="2" t="s">
        <v>7</v>
      </c>
      <c r="Q75" s="2">
        <v>37.1</v>
      </c>
      <c r="R75" s="2" t="s">
        <v>7</v>
      </c>
      <c r="S75" s="2" t="s">
        <v>7</v>
      </c>
    </row>
    <row r="76" spans="1:19" x14ac:dyDescent="0.25">
      <c r="A76" s="3">
        <v>45869</v>
      </c>
      <c r="B76" s="2" t="s">
        <v>33</v>
      </c>
      <c r="C76" s="2" t="s">
        <v>20</v>
      </c>
      <c r="D76" s="2" t="s">
        <v>21</v>
      </c>
      <c r="E76" s="4">
        <v>7.52</v>
      </c>
      <c r="F76" s="4">
        <v>5</v>
      </c>
      <c r="G76" s="4">
        <v>4134</v>
      </c>
      <c r="H76" s="4">
        <f t="shared" si="1"/>
        <v>1.2094823415578133E-3</v>
      </c>
      <c r="I76" s="4">
        <v>2.2000000000000002</v>
      </c>
      <c r="J76" s="4">
        <v>59.8</v>
      </c>
      <c r="K76" s="2" t="s">
        <v>7</v>
      </c>
      <c r="L76" s="2" t="s">
        <v>7</v>
      </c>
      <c r="M76" s="2" t="s">
        <v>7</v>
      </c>
      <c r="N76" s="2" t="s">
        <v>7</v>
      </c>
      <c r="O76" s="2" t="s">
        <v>7</v>
      </c>
      <c r="P76" s="2" t="s">
        <v>7</v>
      </c>
      <c r="Q76" s="2">
        <v>37.1</v>
      </c>
      <c r="R76" s="2" t="s">
        <v>7</v>
      </c>
      <c r="S76" s="2" t="s">
        <v>7</v>
      </c>
    </row>
    <row r="77" spans="1:19" x14ac:dyDescent="0.25">
      <c r="A77" s="3">
        <v>45869</v>
      </c>
      <c r="B77" s="2" t="s">
        <v>34</v>
      </c>
      <c r="C77" s="2" t="s">
        <v>20</v>
      </c>
      <c r="D77" s="2" t="s">
        <v>21</v>
      </c>
      <c r="E77" s="4">
        <v>7.5</v>
      </c>
      <c r="F77" s="4" t="s">
        <v>7</v>
      </c>
      <c r="G77" s="4" t="s">
        <v>7</v>
      </c>
      <c r="H77" s="4" t="s">
        <v>7</v>
      </c>
      <c r="I77" s="4">
        <v>3.3</v>
      </c>
      <c r="J77" s="4">
        <v>58.8</v>
      </c>
      <c r="K77" s="2" t="s">
        <v>7</v>
      </c>
      <c r="L77" s="2" t="s">
        <v>7</v>
      </c>
      <c r="M77" s="2" t="s">
        <v>7</v>
      </c>
      <c r="N77" s="2" t="s">
        <v>7</v>
      </c>
      <c r="O77" s="2" t="s">
        <v>7</v>
      </c>
      <c r="P77" s="2" t="s">
        <v>7</v>
      </c>
      <c r="Q77" s="2" t="s">
        <v>7</v>
      </c>
      <c r="R77" s="2" t="s">
        <v>7</v>
      </c>
      <c r="S77" s="2" t="s">
        <v>7</v>
      </c>
    </row>
    <row r="78" spans="1:19" x14ac:dyDescent="0.25">
      <c r="A78" s="3">
        <v>45876</v>
      </c>
      <c r="B78" s="2" t="s">
        <v>30</v>
      </c>
      <c r="C78" s="2" t="s">
        <v>20</v>
      </c>
      <c r="D78" s="2" t="s">
        <v>21</v>
      </c>
      <c r="E78" s="4">
        <v>7.4</v>
      </c>
      <c r="F78" s="4" t="s">
        <v>7</v>
      </c>
      <c r="G78" s="4">
        <v>4141</v>
      </c>
      <c r="H78" s="4" t="s">
        <v>7</v>
      </c>
      <c r="I78" s="4">
        <v>2.2000000000000002</v>
      </c>
      <c r="J78" s="4">
        <v>57.4</v>
      </c>
      <c r="K78" s="2" t="s">
        <v>7</v>
      </c>
      <c r="L78" s="2" t="s">
        <v>7</v>
      </c>
      <c r="M78" s="2" t="s">
        <v>7</v>
      </c>
      <c r="N78" s="2" t="s">
        <v>7</v>
      </c>
      <c r="O78" s="2" t="s">
        <v>7</v>
      </c>
      <c r="P78" s="2" t="s">
        <v>7</v>
      </c>
      <c r="Q78" s="2">
        <v>42.1</v>
      </c>
      <c r="R78" s="2">
        <v>8</v>
      </c>
      <c r="S78" s="2">
        <v>1598.6</v>
      </c>
    </row>
    <row r="79" spans="1:19" x14ac:dyDescent="0.25">
      <c r="A79" s="3">
        <v>45876</v>
      </c>
      <c r="B79" s="2" t="s">
        <v>31</v>
      </c>
      <c r="C79" s="2" t="s">
        <v>20</v>
      </c>
      <c r="D79" s="2" t="s">
        <v>21</v>
      </c>
      <c r="E79" s="4">
        <v>7.4</v>
      </c>
      <c r="F79" s="4">
        <v>9</v>
      </c>
      <c r="G79" s="4">
        <v>4165</v>
      </c>
      <c r="H79" s="4">
        <f t="shared" si="1"/>
        <v>2.1608643457382954E-3</v>
      </c>
      <c r="I79" s="4">
        <v>2.2000000000000002</v>
      </c>
      <c r="J79" s="4">
        <v>57.4</v>
      </c>
      <c r="K79" s="2" t="s">
        <v>7</v>
      </c>
      <c r="L79" s="2" t="s">
        <v>7</v>
      </c>
      <c r="M79" s="2" t="s">
        <v>7</v>
      </c>
      <c r="N79" s="2" t="s">
        <v>7</v>
      </c>
      <c r="O79" s="2" t="s">
        <v>7</v>
      </c>
      <c r="P79" s="2" t="s">
        <v>7</v>
      </c>
      <c r="Q79" s="2">
        <v>37.200000000000003</v>
      </c>
      <c r="R79" s="2">
        <v>13</v>
      </c>
      <c r="S79" s="2">
        <v>983.8</v>
      </c>
    </row>
    <row r="80" spans="1:19" x14ac:dyDescent="0.25">
      <c r="A80" s="3">
        <v>45876</v>
      </c>
      <c r="B80" s="2" t="s">
        <v>32</v>
      </c>
      <c r="C80" s="2" t="s">
        <v>20</v>
      </c>
      <c r="D80" s="2" t="s">
        <v>21</v>
      </c>
      <c r="E80" s="4">
        <v>7.3</v>
      </c>
      <c r="F80" s="4">
        <v>4</v>
      </c>
      <c r="G80" s="4">
        <v>4081</v>
      </c>
      <c r="H80" s="4">
        <f t="shared" si="1"/>
        <v>9.8015192354814992E-4</v>
      </c>
      <c r="I80" s="4">
        <v>2.1</v>
      </c>
      <c r="J80" s="4">
        <v>57.9</v>
      </c>
      <c r="K80" s="2" t="s">
        <v>7</v>
      </c>
      <c r="L80" s="2" t="s">
        <v>7</v>
      </c>
      <c r="M80" s="2" t="s">
        <v>7</v>
      </c>
      <c r="N80" s="2" t="s">
        <v>7</v>
      </c>
      <c r="O80" s="2" t="s">
        <v>7</v>
      </c>
      <c r="P80" s="2" t="s">
        <v>7</v>
      </c>
      <c r="Q80" s="2">
        <v>36.9</v>
      </c>
      <c r="R80" s="2">
        <v>19</v>
      </c>
      <c r="S80" s="2">
        <v>673.1</v>
      </c>
    </row>
    <row r="81" spans="1:19" x14ac:dyDescent="0.25">
      <c r="A81" s="3">
        <v>45876</v>
      </c>
      <c r="B81" s="2" t="s">
        <v>33</v>
      </c>
      <c r="C81" s="2" t="s">
        <v>20</v>
      </c>
      <c r="D81" s="2" t="s">
        <v>21</v>
      </c>
      <c r="E81" s="4">
        <v>7.5</v>
      </c>
      <c r="F81" s="4">
        <v>4</v>
      </c>
      <c r="G81" s="4">
        <v>4133</v>
      </c>
      <c r="H81" s="4">
        <f t="shared" si="1"/>
        <v>9.6781998548270019E-4</v>
      </c>
      <c r="I81" s="4">
        <v>2.1</v>
      </c>
      <c r="J81" s="4">
        <v>57.9</v>
      </c>
      <c r="K81" s="2" t="s">
        <v>7</v>
      </c>
      <c r="L81" s="2" t="s">
        <v>7</v>
      </c>
      <c r="M81" s="2" t="s">
        <v>7</v>
      </c>
      <c r="N81" s="2" t="s">
        <v>7</v>
      </c>
      <c r="O81" s="2" t="s">
        <v>7</v>
      </c>
      <c r="P81" s="2" t="s">
        <v>7</v>
      </c>
      <c r="Q81" s="2">
        <v>37.4</v>
      </c>
      <c r="R81" s="2">
        <v>29</v>
      </c>
      <c r="S81" s="2">
        <v>441</v>
      </c>
    </row>
    <row r="82" spans="1:19" x14ac:dyDescent="0.25">
      <c r="A82" s="3">
        <v>45876</v>
      </c>
      <c r="B82" s="2" t="s">
        <v>34</v>
      </c>
      <c r="C82" s="2" t="s">
        <v>20</v>
      </c>
      <c r="D82" s="2" t="s">
        <v>21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4" t="s">
        <v>7</v>
      </c>
      <c r="K82" s="2" t="s">
        <v>7</v>
      </c>
      <c r="L82" s="2" t="s">
        <v>7</v>
      </c>
      <c r="M82" s="2" t="s">
        <v>7</v>
      </c>
      <c r="N82" s="2" t="s">
        <v>7</v>
      </c>
      <c r="O82" s="2" t="s">
        <v>7</v>
      </c>
      <c r="P82" s="2" t="s">
        <v>7</v>
      </c>
      <c r="Q82" s="2" t="s">
        <v>7</v>
      </c>
      <c r="R82" s="2" t="s">
        <v>7</v>
      </c>
      <c r="S82" s="2" t="s">
        <v>7</v>
      </c>
    </row>
    <row r="83" spans="1:19" x14ac:dyDescent="0.25">
      <c r="A83" s="3">
        <v>45883</v>
      </c>
      <c r="B83" s="2" t="s">
        <v>30</v>
      </c>
      <c r="C83" s="2" t="s">
        <v>20</v>
      </c>
      <c r="D83" s="2" t="s">
        <v>21</v>
      </c>
      <c r="E83" s="4">
        <v>7.3</v>
      </c>
      <c r="F83" s="4">
        <v>20</v>
      </c>
      <c r="G83" s="4">
        <v>4070</v>
      </c>
      <c r="H83" s="4">
        <f t="shared" si="1"/>
        <v>4.9140049140049139E-3</v>
      </c>
      <c r="I83" s="4">
        <v>2.2000000000000002</v>
      </c>
      <c r="J83" s="4">
        <v>59</v>
      </c>
      <c r="K83" s="2" t="s">
        <v>7</v>
      </c>
      <c r="L83" s="2" t="s">
        <v>7</v>
      </c>
      <c r="M83" s="2" t="s">
        <v>7</v>
      </c>
      <c r="N83" s="2" t="s">
        <v>7</v>
      </c>
      <c r="O83" s="2" t="s">
        <v>7</v>
      </c>
      <c r="P83" s="2" t="s">
        <v>7</v>
      </c>
      <c r="Q83" s="2">
        <v>40.1</v>
      </c>
      <c r="R83" s="2">
        <v>25</v>
      </c>
      <c r="S83" s="2">
        <v>511.6</v>
      </c>
    </row>
    <row r="84" spans="1:19" x14ac:dyDescent="0.25">
      <c r="A84" s="3">
        <v>45883</v>
      </c>
      <c r="B84" s="2" t="s">
        <v>31</v>
      </c>
      <c r="C84" s="2" t="s">
        <v>20</v>
      </c>
      <c r="D84" s="2" t="s">
        <v>21</v>
      </c>
      <c r="E84" s="4">
        <v>7.4</v>
      </c>
      <c r="F84" s="4">
        <v>28</v>
      </c>
      <c r="G84" s="4">
        <v>4217</v>
      </c>
      <c r="H84" s="4">
        <f t="shared" si="1"/>
        <v>6.6397913208442018E-3</v>
      </c>
      <c r="I84" s="4">
        <v>2.2000000000000002</v>
      </c>
      <c r="J84" s="4">
        <v>58.1</v>
      </c>
      <c r="K84" s="2" t="s">
        <v>7</v>
      </c>
      <c r="L84" s="2" t="s">
        <v>7</v>
      </c>
      <c r="M84" s="2" t="s">
        <v>7</v>
      </c>
      <c r="N84" s="2" t="s">
        <v>7</v>
      </c>
      <c r="O84" s="2" t="s">
        <v>7</v>
      </c>
      <c r="P84" s="2" t="s">
        <v>7</v>
      </c>
      <c r="Q84" s="2">
        <v>37.1</v>
      </c>
      <c r="R84" s="2">
        <v>93</v>
      </c>
      <c r="S84" s="2">
        <v>137.5</v>
      </c>
    </row>
    <row r="85" spans="1:19" x14ac:dyDescent="0.25">
      <c r="A85" s="3">
        <v>45883</v>
      </c>
      <c r="B85" s="2" t="s">
        <v>32</v>
      </c>
      <c r="C85" s="2" t="s">
        <v>20</v>
      </c>
      <c r="D85" s="2" t="s">
        <v>21</v>
      </c>
      <c r="E85" s="4">
        <v>7.4</v>
      </c>
      <c r="F85" s="4">
        <v>10</v>
      </c>
      <c r="G85" s="4">
        <v>4122</v>
      </c>
      <c r="H85" s="4">
        <f t="shared" si="1"/>
        <v>2.4260067928190197E-3</v>
      </c>
      <c r="I85" s="4">
        <v>2.1</v>
      </c>
      <c r="J85" s="4">
        <v>58.4</v>
      </c>
      <c r="K85" s="2" t="s">
        <v>7</v>
      </c>
      <c r="L85" s="2" t="s">
        <v>7</v>
      </c>
      <c r="M85" s="2" t="s">
        <v>7</v>
      </c>
      <c r="N85" s="2" t="s">
        <v>7</v>
      </c>
      <c r="O85" s="2" t="s">
        <v>7</v>
      </c>
      <c r="P85" s="2" t="s">
        <v>7</v>
      </c>
      <c r="Q85" s="2">
        <v>36.5</v>
      </c>
      <c r="R85" s="2">
        <v>60</v>
      </c>
      <c r="S85" s="2">
        <v>213.1</v>
      </c>
    </row>
    <row r="86" spans="1:19" x14ac:dyDescent="0.25">
      <c r="A86" s="3">
        <v>45883</v>
      </c>
      <c r="B86" s="2" t="s">
        <v>33</v>
      </c>
      <c r="C86" s="2" t="s">
        <v>20</v>
      </c>
      <c r="D86" s="2" t="s">
        <v>21</v>
      </c>
      <c r="E86" s="4">
        <v>7.5</v>
      </c>
      <c r="F86" s="4">
        <v>117</v>
      </c>
      <c r="G86" s="4">
        <v>4207</v>
      </c>
      <c r="H86" s="4">
        <f t="shared" si="1"/>
        <v>2.7810791537913004E-2</v>
      </c>
      <c r="I86" s="4">
        <v>2.1</v>
      </c>
      <c r="J86" s="4">
        <v>58</v>
      </c>
      <c r="K86" s="2" t="s">
        <v>7</v>
      </c>
      <c r="L86" s="2" t="s">
        <v>7</v>
      </c>
      <c r="M86" s="2" t="s">
        <v>7</v>
      </c>
      <c r="N86" s="2" t="s">
        <v>7</v>
      </c>
      <c r="O86" s="2" t="s">
        <v>7</v>
      </c>
      <c r="P86" s="2" t="s">
        <v>7</v>
      </c>
      <c r="Q86" s="2">
        <v>37.6</v>
      </c>
      <c r="R86" s="2">
        <v>106</v>
      </c>
      <c r="S86" s="2">
        <v>120.6</v>
      </c>
    </row>
    <row r="87" spans="1:19" x14ac:dyDescent="0.25">
      <c r="A87" s="3">
        <v>45883</v>
      </c>
      <c r="B87" s="2" t="s">
        <v>34</v>
      </c>
      <c r="C87" s="2" t="s">
        <v>20</v>
      </c>
      <c r="D87" s="2" t="s">
        <v>21</v>
      </c>
      <c r="E87" s="4">
        <v>7.6</v>
      </c>
      <c r="F87" s="4" t="s">
        <v>7</v>
      </c>
      <c r="G87" s="4" t="s">
        <v>7</v>
      </c>
      <c r="H87" s="4" t="s">
        <v>7</v>
      </c>
      <c r="I87" s="4">
        <v>2.2999999999999998</v>
      </c>
      <c r="J87" s="4">
        <v>58</v>
      </c>
      <c r="K87" s="2" t="s">
        <v>7</v>
      </c>
      <c r="L87" s="2" t="s">
        <v>7</v>
      </c>
      <c r="M87" s="2" t="s">
        <v>7</v>
      </c>
      <c r="N87" s="2" t="s">
        <v>7</v>
      </c>
      <c r="O87" s="2" t="s">
        <v>7</v>
      </c>
      <c r="P87" s="2" t="s">
        <v>7</v>
      </c>
      <c r="Q87" s="2" t="s">
        <v>7</v>
      </c>
      <c r="R87" s="2" t="s">
        <v>7</v>
      </c>
      <c r="S87" s="2" t="s">
        <v>7</v>
      </c>
    </row>
    <row r="88" spans="1:19" x14ac:dyDescent="0.25">
      <c r="A88" s="3">
        <v>45890</v>
      </c>
      <c r="B88" s="2" t="s">
        <v>30</v>
      </c>
      <c r="C88" s="2" t="s">
        <v>20</v>
      </c>
      <c r="D88" s="2" t="s">
        <v>21</v>
      </c>
      <c r="E88" s="4">
        <v>7.42</v>
      </c>
      <c r="F88" s="4" t="s">
        <v>7</v>
      </c>
      <c r="G88" s="4">
        <v>3935</v>
      </c>
      <c r="H88" s="4" t="s">
        <v>7</v>
      </c>
      <c r="I88" s="4" t="s">
        <v>7</v>
      </c>
      <c r="J88" s="4" t="s">
        <v>7</v>
      </c>
      <c r="K88" s="2" t="s">
        <v>7</v>
      </c>
      <c r="L88" s="2" t="s">
        <v>7</v>
      </c>
      <c r="M88" s="2" t="s">
        <v>7</v>
      </c>
      <c r="N88" s="2" t="s">
        <v>7</v>
      </c>
      <c r="O88" s="2" t="s">
        <v>7</v>
      </c>
      <c r="P88" s="2" t="s">
        <v>7</v>
      </c>
      <c r="Q88" s="2">
        <v>41.8</v>
      </c>
      <c r="R88" s="2">
        <v>216</v>
      </c>
      <c r="S88" s="2">
        <v>59.2</v>
      </c>
    </row>
    <row r="89" spans="1:19" x14ac:dyDescent="0.25">
      <c r="A89" s="3">
        <v>45890</v>
      </c>
      <c r="B89" s="2" t="s">
        <v>31</v>
      </c>
      <c r="C89" s="2" t="s">
        <v>20</v>
      </c>
      <c r="D89" s="2" t="s">
        <v>21</v>
      </c>
      <c r="E89" s="4">
        <v>7.47</v>
      </c>
      <c r="F89" s="4" t="s">
        <v>7</v>
      </c>
      <c r="G89" s="4">
        <v>4154</v>
      </c>
      <c r="H89" s="4" t="s">
        <v>7</v>
      </c>
      <c r="I89" s="4" t="s">
        <v>7</v>
      </c>
      <c r="J89" s="4" t="s">
        <v>7</v>
      </c>
      <c r="K89" s="2" t="s">
        <v>7</v>
      </c>
      <c r="L89" s="2" t="s">
        <v>7</v>
      </c>
      <c r="M89" s="2" t="s">
        <v>7</v>
      </c>
      <c r="N89" s="2" t="s">
        <v>7</v>
      </c>
      <c r="O89" s="2" t="s">
        <v>7</v>
      </c>
      <c r="P89" s="2" t="s">
        <v>7</v>
      </c>
      <c r="Q89" s="2">
        <v>38</v>
      </c>
      <c r="R89" s="2">
        <v>4</v>
      </c>
      <c r="S89" s="2">
        <v>3197.2</v>
      </c>
    </row>
    <row r="90" spans="1:19" x14ac:dyDescent="0.25">
      <c r="A90" s="3">
        <v>45890</v>
      </c>
      <c r="B90" s="2" t="s">
        <v>32</v>
      </c>
      <c r="C90" s="2" t="s">
        <v>20</v>
      </c>
      <c r="D90" s="2" t="s">
        <v>21</v>
      </c>
      <c r="E90" s="4">
        <v>7.46</v>
      </c>
      <c r="F90" s="4" t="s">
        <v>7</v>
      </c>
      <c r="G90" s="4">
        <v>4087</v>
      </c>
      <c r="H90" s="4" t="s">
        <v>7</v>
      </c>
      <c r="I90" s="4" t="s">
        <v>7</v>
      </c>
      <c r="J90" s="4" t="s">
        <v>7</v>
      </c>
      <c r="K90" s="2" t="s">
        <v>7</v>
      </c>
      <c r="L90" s="2" t="s">
        <v>7</v>
      </c>
      <c r="M90" s="2" t="s">
        <v>7</v>
      </c>
      <c r="N90" s="2" t="s">
        <v>7</v>
      </c>
      <c r="O90" s="2" t="s">
        <v>7</v>
      </c>
      <c r="P90" s="2" t="s">
        <v>7</v>
      </c>
      <c r="Q90" s="2">
        <v>37.799999999999997</v>
      </c>
      <c r="R90" s="2">
        <v>1</v>
      </c>
      <c r="S90" s="2">
        <v>12788.8</v>
      </c>
    </row>
    <row r="91" spans="1:19" x14ac:dyDescent="0.25">
      <c r="A91" s="3">
        <v>45890</v>
      </c>
      <c r="B91" s="2" t="s">
        <v>33</v>
      </c>
      <c r="C91" s="2" t="s">
        <v>20</v>
      </c>
      <c r="D91" s="2" t="s">
        <v>21</v>
      </c>
      <c r="E91" s="4">
        <v>7.62</v>
      </c>
      <c r="F91" s="4" t="s">
        <v>7</v>
      </c>
      <c r="G91" s="4">
        <v>4112</v>
      </c>
      <c r="H91" s="4" t="s">
        <v>7</v>
      </c>
      <c r="I91" s="4" t="s">
        <v>7</v>
      </c>
      <c r="J91" s="4" t="s">
        <v>7</v>
      </c>
      <c r="K91" s="2" t="s">
        <v>7</v>
      </c>
      <c r="L91" s="2" t="s">
        <v>7</v>
      </c>
      <c r="M91" s="2" t="s">
        <v>7</v>
      </c>
      <c r="N91" s="2" t="s">
        <v>7</v>
      </c>
      <c r="O91" s="2" t="s">
        <v>7</v>
      </c>
      <c r="P91" s="2" t="s">
        <v>7</v>
      </c>
      <c r="Q91" s="2">
        <v>37.299999999999997</v>
      </c>
      <c r="R91" s="2">
        <v>43</v>
      </c>
      <c r="S91" s="2">
        <v>297.39999999999998</v>
      </c>
    </row>
    <row r="92" spans="1:19" x14ac:dyDescent="0.25">
      <c r="A92" s="3">
        <v>45890</v>
      </c>
      <c r="B92" s="2" t="s">
        <v>34</v>
      </c>
      <c r="C92" s="2" t="s">
        <v>20</v>
      </c>
      <c r="D92" s="2" t="s">
        <v>21</v>
      </c>
      <c r="E92" s="4">
        <v>7.54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  <c r="K92" s="2" t="s">
        <v>7</v>
      </c>
      <c r="L92" s="2" t="s">
        <v>7</v>
      </c>
      <c r="M92" s="2" t="s">
        <v>7</v>
      </c>
      <c r="N92" s="2" t="s">
        <v>7</v>
      </c>
      <c r="O92" s="2" t="s">
        <v>7</v>
      </c>
      <c r="P92" s="2" t="s">
        <v>7</v>
      </c>
      <c r="Q92" s="2" t="s">
        <v>7</v>
      </c>
      <c r="R92" s="2" t="s">
        <v>7</v>
      </c>
      <c r="S92" s="2" t="s">
        <v>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Yann Lebihan</dc:creator>
  <cp:lastModifiedBy>Yann Lebihan</cp:lastModifiedBy>
  <dcterms:created xsi:type="dcterms:W3CDTF">2025-12-01T10:26:14Z</dcterms:created>
  <dcterms:modified xsi:type="dcterms:W3CDTF">2026-04-02T09:11:41Z</dcterms:modified>
</cp:coreProperties>
</file>